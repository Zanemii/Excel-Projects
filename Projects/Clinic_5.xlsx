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Learn\BELAJAR EXCEL SKUY\Admin\Admin Klinik\"/>
    </mc:Choice>
  </mc:AlternateContent>
  <xr:revisionPtr revIDLastSave="0" documentId="13_ncr:1_{87FCC4D0-2042-44F0-AA6F-FC0205E129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7" i="1"/>
  <c r="L8" i="1"/>
  <c r="L9" i="1"/>
  <c r="L5" i="1"/>
  <c r="K6" i="1" a="1"/>
  <c r="K6" i="1" s="1"/>
  <c r="K7" i="1" a="1"/>
  <c r="K7" i="1" s="1"/>
  <c r="K8" i="1" a="1"/>
  <c r="K8" i="1"/>
  <c r="K9" i="1" a="1"/>
  <c r="K9" i="1" s="1"/>
  <c r="K5" i="1" a="1"/>
  <c r="K5" i="1" s="1"/>
  <c r="J6" i="1"/>
  <c r="J7" i="1"/>
  <c r="J8" i="1"/>
  <c r="J9" i="1"/>
  <c r="J5" i="1"/>
  <c r="I6" i="1"/>
  <c r="I7" i="1"/>
  <c r="I8" i="1"/>
  <c r="I9" i="1"/>
  <c r="I5" i="1"/>
  <c r="H6" i="1"/>
  <c r="H7" i="1"/>
  <c r="H8" i="1"/>
  <c r="H9" i="1"/>
  <c r="H5" i="1"/>
  <c r="E6" i="1"/>
  <c r="E7" i="1"/>
  <c r="E8" i="1"/>
  <c r="E9" i="1"/>
  <c r="E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<sst xmlns="http://schemas.openxmlformats.org/spreadsheetml/2006/main" count="51" uniqueCount="32">
  <si>
    <t>KLINIK PERSALINAN "PANCA BHAKTI"</t>
  </si>
  <si>
    <t>KELAS</t>
  </si>
  <si>
    <t>PERAWATAN</t>
  </si>
  <si>
    <t>RUANG</t>
  </si>
  <si>
    <t>TANGGAL</t>
  </si>
  <si>
    <t xml:space="preserve">MASUK </t>
  </si>
  <si>
    <t>KELUAR</t>
  </si>
  <si>
    <t>INAP</t>
  </si>
  <si>
    <t>BIAYA</t>
  </si>
  <si>
    <t>LAYANAN</t>
  </si>
  <si>
    <t>PERSALINAN</t>
  </si>
  <si>
    <t>TOTAL BAYAR</t>
  </si>
  <si>
    <t>A</t>
  </si>
  <si>
    <t>B</t>
  </si>
  <si>
    <t>C</t>
  </si>
  <si>
    <t>Biasa</t>
  </si>
  <si>
    <t>Cesar</t>
  </si>
  <si>
    <t>Cesar+</t>
  </si>
  <si>
    <t>BIAYA PERSALINAN</t>
  </si>
  <si>
    <t>BIAYA PERHARI</t>
  </si>
  <si>
    <t>VIP 1</t>
  </si>
  <si>
    <t>VIP 2</t>
  </si>
  <si>
    <t>VIP 3</t>
  </si>
  <si>
    <t>NAMA PASIEN</t>
  </si>
  <si>
    <t>LAMA INAP</t>
  </si>
  <si>
    <t>Tasya</t>
  </si>
  <si>
    <t>Zahra</t>
  </si>
  <si>
    <t>Siska</t>
  </si>
  <si>
    <t>Ridla</t>
  </si>
  <si>
    <t>Nabila</t>
  </si>
  <si>
    <t>Tabel 1</t>
  </si>
  <si>
    <t>Tabel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</si>
</sst>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6" formatCode="_-[$Rp-421]* #,##0.00_-;\-[$Rp-421]* #,##0.00_-;_-[$Rp-421]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Yu Gothic UI Semibold"/>
      <family val="2"/>
    </font>
    <font>
      <b/>
      <sz val="11"/>
      <name val="Yu Gothic UI Semibold"/>
      <family val="2"/>
    </font>
    <font>
      <b/>
      <sz val="14"/>
      <name val="Yu Gothic UI Semibold"/>
      <family val="2"/>
    </font>
    <font>
      <b/>
      <sz val="11"/>
      <color theme="0"/>
      <name val="Yu Gothic UI Semibold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15" fontId="2" fillId="0" borderId="1" xfId="0" applyNumberFormat="1" applyFont="1" applyBorder="1" applyAlignment="1">
      <alignment horizontal="center"/>
    </xf>
    <xf numFmtId="164" fontId="2" fillId="0" borderId="1" xfId="2" applyFont="1" applyFill="1" applyBorder="1"/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2" fillId="0" borderId="8" xfId="0" applyFont="1" applyBorder="1"/>
    <xf numFmtId="0" fontId="2" fillId="0" borderId="9" xfId="0" applyFont="1" applyBorder="1"/>
    <xf numFmtId="0" fontId="5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6" fillId="0" borderId="0" xfId="3"/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6" fontId="2" fillId="0" borderId="1" xfId="1" applyNumberFormat="1" applyFont="1" applyFill="1" applyBorder="1" applyAlignment="1">
      <alignment horizontal="left"/>
    </xf>
    <xf numFmtId="166" fontId="2" fillId="0" borderId="1" xfId="0" applyNumberFormat="1" applyFont="1" applyBorder="1" applyAlignment="1">
      <alignment horizontal="left"/>
    </xf>
  </cellXfs>
  <cellStyles count="4">
    <cellStyle name="Comma" xfId="1" builtinId="3"/>
    <cellStyle name="Comma [0]" xfId="2" builtinId="6"/>
    <cellStyle name="Hyperlink" xfId="3" builtinId="8"/>
    <cellStyle name="Normal" xfId="0" builtinId="0"/>
  </cellStyles>
  <dxfs count="0"/>
  <tableStyles count="0" defaultTableStyle="TableStyleMedium2" defaultPivotStyle="PivotStyleLight16"/>
  <colors>
    <mruColors>
      <color rgb="FF0000FF"/>
      <color rgb="FFEE90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1:M18"/>
  <sheetViews>
    <sheetView tabSelected="1" zoomScale="115" zoomScaleNormal="115" workbookViewId="0">
      <selection activeCell="M16" sqref="M16"/>
    </sheetView>
  </sheetViews>
  <sheetFormatPr defaultColWidth="9.109375" defaultRowHeight="16.8" x14ac:dyDescent="0.4"/>
  <cols>
    <col min="1" max="1" width="1.5546875" style="1" customWidth="1"/>
    <col min="2" max="2" width="12.44140625" style="1" customWidth="1"/>
    <col min="3" max="3" width="10.33203125" style="1" customWidth="1"/>
    <col min="4" max="7" width="13.88671875" style="1" customWidth="1"/>
    <col min="8" max="8" width="9.109375" style="1" customWidth="1"/>
    <col min="9" max="10" width="17.5546875" style="1" customWidth="1"/>
    <col min="11" max="11" width="18.21875" style="1" bestFit="1" customWidth="1"/>
    <col min="12" max="12" width="17.6640625" style="1" bestFit="1" customWidth="1"/>
    <col min="13" max="13" width="20.6640625" style="1" customWidth="1"/>
    <col min="14" max="16384" width="9.109375" style="1"/>
  </cols>
  <sheetData>
    <row r="1" spans="2:13" ht="17.25" customHeight="1" x14ac:dyDescent="0.4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7"/>
    </row>
    <row r="2" spans="2:13" ht="16.5" customHeight="1" x14ac:dyDescent="0.4"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7"/>
    </row>
    <row r="3" spans="2:13" x14ac:dyDescent="0.4">
      <c r="B3" s="21" t="s">
        <v>23</v>
      </c>
      <c r="C3" s="19" t="s">
        <v>1</v>
      </c>
      <c r="D3" s="19" t="s">
        <v>10</v>
      </c>
      <c r="E3" s="19" t="s">
        <v>3</v>
      </c>
      <c r="F3" s="23" t="s">
        <v>4</v>
      </c>
      <c r="G3" s="23"/>
      <c r="H3" s="21" t="s">
        <v>24</v>
      </c>
      <c r="I3" s="23" t="s">
        <v>8</v>
      </c>
      <c r="J3" s="23"/>
      <c r="K3" s="23"/>
      <c r="L3" s="23" t="s">
        <v>11</v>
      </c>
      <c r="M3"/>
    </row>
    <row r="4" spans="2:13" x14ac:dyDescent="0.4">
      <c r="B4" s="22"/>
      <c r="C4" s="20"/>
      <c r="D4" s="20" t="s">
        <v>2</v>
      </c>
      <c r="E4" s="20"/>
      <c r="F4" s="5" t="s">
        <v>5</v>
      </c>
      <c r="G4" s="5" t="s">
        <v>6</v>
      </c>
      <c r="H4" s="22"/>
      <c r="I4" s="5" t="s">
        <v>7</v>
      </c>
      <c r="J4" s="5" t="s">
        <v>9</v>
      </c>
      <c r="K4" s="5" t="s">
        <v>10</v>
      </c>
      <c r="L4" s="23"/>
    </row>
    <row r="5" spans="2:13" x14ac:dyDescent="0.4">
      <c r="B5" s="2" t="s">
        <v>25</v>
      </c>
      <c r="C5" s="2" t="s">
        <v>12</v>
      </c>
      <c r="D5" s="2" t="s">
        <v>15</v>
      </c>
      <c r="E5" s="12" t="str">
        <f>VLOOKUP(C5,$B$13:$C$16,2,0)</f>
        <v>VIP 1</v>
      </c>
      <c r="F5" s="3">
        <v>40924</v>
      </c>
      <c r="G5" s="3">
        <v>40932</v>
      </c>
      <c r="H5" s="12">
        <f>G5-F5</f>
        <v>8</v>
      </c>
      <c r="I5" s="24">
        <f>VLOOKUP(E5,$I$13:$K$16,2,0)</f>
        <v>1000000</v>
      </c>
      <c r="J5" s="24">
        <f>VLOOKUP(E5,$I$13:$K$16,3,0)</f>
        <v>1000000</v>
      </c>
      <c r="K5" s="24" cm="1">
        <f t="array" ref="K5">VLOOKUP(C5,$B$13:$F$16,_xlfn.IFS(D5="Biasa",3,D5="Cesar",4,D5="Cesar+",5),FALSE)</f>
        <v>5000000</v>
      </c>
      <c r="L5" s="25">
        <f>SUM(I5:K5)</f>
        <v>7000000</v>
      </c>
    </row>
    <row r="6" spans="2:13" x14ac:dyDescent="0.4">
      <c r="B6" s="2" t="s">
        <v>26</v>
      </c>
      <c r="C6" s="2" t="s">
        <v>13</v>
      </c>
      <c r="D6" s="2" t="s">
        <v>17</v>
      </c>
      <c r="E6" s="12" t="str">
        <f t="shared" ref="E6:E9" si="0">VLOOKUP(C6,$B$13:$C$16,2,0)</f>
        <v>VIP 2</v>
      </c>
      <c r="F6" s="3">
        <v>40926</v>
      </c>
      <c r="G6" s="3">
        <v>40933</v>
      </c>
      <c r="H6" s="12">
        <f t="shared" ref="H6:H9" si="1">G6-F6</f>
        <v>7</v>
      </c>
      <c r="I6" s="24">
        <f t="shared" ref="I6:I9" si="2">VLOOKUP(E6,$I$13:$K$16,2,0)</f>
        <v>500000</v>
      </c>
      <c r="J6" s="24">
        <f t="shared" ref="J6:J9" si="3">VLOOKUP(E6,$I$13:$K$16,3,0)</f>
        <v>500000</v>
      </c>
      <c r="K6" s="24" cm="1">
        <f t="array" ref="K6">VLOOKUP(C6,$B$13:$F$16,_xlfn.IFS(D6="Biasa",3,D6="Cesar",4,D6="Cesar+",5),FALSE)</f>
        <v>20000000</v>
      </c>
      <c r="L6" s="25">
        <f t="shared" ref="L6:L9" si="4">SUM(I6:K6)</f>
        <v>21000000</v>
      </c>
    </row>
    <row r="7" spans="2:13" x14ac:dyDescent="0.4">
      <c r="B7" s="2" t="s">
        <v>27</v>
      </c>
      <c r="C7" s="2" t="s">
        <v>14</v>
      </c>
      <c r="D7" s="2" t="s">
        <v>16</v>
      </c>
      <c r="E7" s="12" t="str">
        <f t="shared" si="0"/>
        <v>VIP 3</v>
      </c>
      <c r="F7" s="3">
        <v>40929</v>
      </c>
      <c r="G7" s="3">
        <v>40933</v>
      </c>
      <c r="H7" s="12">
        <f t="shared" si="1"/>
        <v>4</v>
      </c>
      <c r="I7" s="24">
        <f t="shared" si="2"/>
        <v>250000</v>
      </c>
      <c r="J7" s="24">
        <f t="shared" si="3"/>
        <v>250000</v>
      </c>
      <c r="K7" s="24" cm="1">
        <f t="array" ref="K7">VLOOKUP(C7,$B$13:$F$16,_xlfn.IFS(D7="Biasa",3,D7="Cesar",4,D7="Cesar+",5),FALSE)</f>
        <v>5000000</v>
      </c>
      <c r="L7" s="25">
        <f t="shared" si="4"/>
        <v>5500000</v>
      </c>
    </row>
    <row r="8" spans="2:13" x14ac:dyDescent="0.4">
      <c r="B8" s="2" t="s">
        <v>28</v>
      </c>
      <c r="C8" s="2" t="s">
        <v>12</v>
      </c>
      <c r="D8" s="2" t="s">
        <v>15</v>
      </c>
      <c r="E8" s="12" t="str">
        <f t="shared" si="0"/>
        <v>VIP 1</v>
      </c>
      <c r="F8" s="3">
        <v>40932</v>
      </c>
      <c r="G8" s="3">
        <v>40935</v>
      </c>
      <c r="H8" s="12">
        <f t="shared" si="1"/>
        <v>3</v>
      </c>
      <c r="I8" s="24">
        <f t="shared" si="2"/>
        <v>1000000</v>
      </c>
      <c r="J8" s="24">
        <f t="shared" si="3"/>
        <v>1000000</v>
      </c>
      <c r="K8" s="24" cm="1">
        <f t="array" ref="K8">VLOOKUP(C8,$B$13:$F$16,_xlfn.IFS(D8="Biasa",3,D8="Cesar",4,D8="Cesar+",5),FALSE)</f>
        <v>5000000</v>
      </c>
      <c r="L8" s="25">
        <f t="shared" si="4"/>
        <v>7000000</v>
      </c>
    </row>
    <row r="9" spans="2:13" x14ac:dyDescent="0.4">
      <c r="B9" s="2" t="s">
        <v>29</v>
      </c>
      <c r="C9" s="2" t="s">
        <v>13</v>
      </c>
      <c r="D9" s="2" t="s">
        <v>16</v>
      </c>
      <c r="E9" s="12" t="str">
        <f t="shared" si="0"/>
        <v>VIP 2</v>
      </c>
      <c r="F9" s="3">
        <v>40938</v>
      </c>
      <c r="G9" s="3">
        <v>40939</v>
      </c>
      <c r="H9" s="12">
        <f t="shared" si="1"/>
        <v>1</v>
      </c>
      <c r="I9" s="24">
        <f t="shared" si="2"/>
        <v>500000</v>
      </c>
      <c r="J9" s="24">
        <f t="shared" si="3"/>
        <v>500000</v>
      </c>
      <c r="K9" s="24" cm="1">
        <f t="array" ref="K9">VLOOKUP(C9,$B$13:$F$16,_xlfn.IFS(D9="Biasa",3,D9="Cesar",4,D9="Cesar+",5),FALSE)</f>
        <v>7000000</v>
      </c>
      <c r="L9" s="25">
        <f t="shared" si="4"/>
        <v>8000000</v>
      </c>
    </row>
    <row r="11" spans="2:13" x14ac:dyDescent="0.4">
      <c r="B11" s="1" t="s">
        <v>30</v>
      </c>
      <c r="I11" s="1" t="s">
        <v>31</v>
      </c>
    </row>
    <row r="12" spans="2:13" x14ac:dyDescent="0.4">
      <c r="D12" s="16" t="s">
        <v>18</v>
      </c>
      <c r="E12" s="17"/>
      <c r="F12" s="18"/>
      <c r="G12" s="8"/>
      <c r="J12" s="17" t="s">
        <v>19</v>
      </c>
      <c r="K12" s="18"/>
    </row>
    <row r="13" spans="2:13" x14ac:dyDescent="0.4">
      <c r="B13" s="10" t="s">
        <v>1</v>
      </c>
      <c r="C13" s="10" t="s">
        <v>3</v>
      </c>
      <c r="D13" s="6" t="s">
        <v>15</v>
      </c>
      <c r="E13" s="6" t="s">
        <v>16</v>
      </c>
      <c r="F13" s="6" t="s">
        <v>17</v>
      </c>
      <c r="G13" s="8"/>
      <c r="H13" s="9"/>
      <c r="I13" s="11" t="s">
        <v>3</v>
      </c>
      <c r="J13" s="6" t="s">
        <v>7</v>
      </c>
      <c r="K13" s="6" t="s">
        <v>9</v>
      </c>
    </row>
    <row r="14" spans="2:13" x14ac:dyDescent="0.4">
      <c r="B14" s="2" t="s">
        <v>12</v>
      </c>
      <c r="C14" s="2" t="s">
        <v>20</v>
      </c>
      <c r="D14" s="4">
        <v>5000000</v>
      </c>
      <c r="E14" s="4">
        <v>10000000</v>
      </c>
      <c r="F14" s="4">
        <v>25000000</v>
      </c>
      <c r="G14" s="8"/>
      <c r="H14" s="9"/>
      <c r="I14" s="2" t="s">
        <v>20</v>
      </c>
      <c r="J14" s="4">
        <v>1000000</v>
      </c>
      <c r="K14" s="4">
        <v>1000000</v>
      </c>
    </row>
    <row r="15" spans="2:13" x14ac:dyDescent="0.4">
      <c r="B15" s="2" t="s">
        <v>13</v>
      </c>
      <c r="C15" s="2" t="s">
        <v>21</v>
      </c>
      <c r="D15" s="4">
        <v>4000000</v>
      </c>
      <c r="E15" s="4">
        <v>7000000</v>
      </c>
      <c r="F15" s="4">
        <v>20000000</v>
      </c>
      <c r="I15" s="2" t="s">
        <v>21</v>
      </c>
      <c r="J15" s="4">
        <v>500000</v>
      </c>
      <c r="K15" s="4">
        <v>500000</v>
      </c>
    </row>
    <row r="16" spans="2:13" x14ac:dyDescent="0.4">
      <c r="B16" s="2" t="s">
        <v>14</v>
      </c>
      <c r="C16" s="2" t="s">
        <v>22</v>
      </c>
      <c r="D16" s="4">
        <v>3000000</v>
      </c>
      <c r="E16" s="4">
        <v>5000000</v>
      </c>
      <c r="F16" s="4">
        <v>15000000</v>
      </c>
      <c r="I16" s="2" t="s">
        <v>22</v>
      </c>
      <c r="J16" s="4">
        <v>250000</v>
      </c>
      <c r="K16" s="4">
        <v>250000</v>
      </c>
    </row>
    <row r="18" spans="4:4" x14ac:dyDescent="0.4">
      <c r="D18" s="13"/>
    </row>
  </sheetData>
  <mergeCells count="11">
    <mergeCell ref="B1:L2"/>
    <mergeCell ref="D12:F12"/>
    <mergeCell ref="J12:K12"/>
    <mergeCell ref="C3:C4"/>
    <mergeCell ref="E3:E4"/>
    <mergeCell ref="D3:D4"/>
    <mergeCell ref="H3:H4"/>
    <mergeCell ref="L3:L4"/>
    <mergeCell ref="F3:G3"/>
    <mergeCell ref="I3:K3"/>
    <mergeCell ref="B3: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Messi</dc:creator>
  <cp:lastModifiedBy>ASUS K16</cp:lastModifiedBy>
  <dcterms:created xsi:type="dcterms:W3CDTF">2018-06-30T04:18:27Z</dcterms:created>
  <dcterms:modified xsi:type="dcterms:W3CDTF">2026-09-22T15:42:40Z</dcterms:modified>
</cp:coreProperties>
</file>