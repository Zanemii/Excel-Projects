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SUS\Documents\Learn\BELAJAR EXCEL SKUY\Quiz\"/>
    </mc:Choice>
  </mc:AlternateContent>
  <xr:revisionPtr revIDLastSave="0" documentId="13_ncr:1_{A6DD1562-235D-4D04-BB31-F7E229C4478C}" xr6:coauthVersionLast="47" xr6:coauthVersionMax="47" xr10:uidLastSave="{00000000-0000-0000-0000-000000000000}"/>
  <bookViews>
    <workbookView xWindow="-108" yWindow="-108" windowWidth="23256" windowHeight="13896" tabRatio="779" firstSheet="1" activeTab="11" xr2:uid="{00000000-000D-0000-FFFF-FFFF00000000}"/>
  </bookViews>
  <sheets>
    <sheet name="Dasar 1" sheetId="2" r:id="rId1"/>
    <sheet name="Latihan 1-1" sheetId="6" r:id="rId2"/>
    <sheet name="Latihan 1-2" sheetId="10" r:id="rId3"/>
    <sheet name="Dasar 2" sheetId="3" r:id="rId4"/>
    <sheet name="Latihan 2-1" sheetId="7" r:id="rId5"/>
    <sheet name="Latihan 2-2" sheetId="4" r:id="rId6"/>
    <sheet name="Latihan 2-3" sheetId="9" r:id="rId7"/>
    <sheet name="Latihan 3" sheetId="11" r:id="rId8"/>
    <sheet name="Latihan 4" sheetId="12" r:id="rId9"/>
    <sheet name="Latihan 5" sheetId="13" r:id="rId10"/>
    <sheet name="Latihan 6" sheetId="14" r:id="rId11"/>
    <sheet name="Latihan 7" sheetId="15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5" l="1"/>
  <c r="K10" i="15" s="1"/>
  <c r="J11" i="15"/>
  <c r="K11" i="15" s="1"/>
  <c r="J12" i="15"/>
  <c r="K12" i="15" s="1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6" i="15"/>
  <c r="I21" i="15" s="1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6" i="15"/>
  <c r="E7" i="15"/>
  <c r="J7" i="15" s="1"/>
  <c r="E8" i="15"/>
  <c r="J8" i="15" s="1"/>
  <c r="E9" i="15"/>
  <c r="J9" i="15" s="1"/>
  <c r="E10" i="15"/>
  <c r="E11" i="15"/>
  <c r="E12" i="15"/>
  <c r="E13" i="15"/>
  <c r="J13" i="15" s="1"/>
  <c r="K13" i="15" s="1"/>
  <c r="E14" i="15"/>
  <c r="J14" i="15" s="1"/>
  <c r="K14" i="15" s="1"/>
  <c r="E15" i="15"/>
  <c r="J15" i="15" s="1"/>
  <c r="K15" i="15" s="1"/>
  <c r="E16" i="15"/>
  <c r="J16" i="15" s="1"/>
  <c r="E17" i="15"/>
  <c r="J17" i="15" s="1"/>
  <c r="E18" i="15"/>
  <c r="J18" i="15" s="1"/>
  <c r="E19" i="15"/>
  <c r="J19" i="15" s="1"/>
  <c r="E20" i="15"/>
  <c r="J20" i="15" s="1"/>
  <c r="E6" i="15"/>
  <c r="J6" i="15" s="1"/>
  <c r="L6" i="14"/>
  <c r="L7" i="14"/>
  <c r="L8" i="14"/>
  <c r="L9" i="14"/>
  <c r="L10" i="14"/>
  <c r="L11" i="14"/>
  <c r="L12" i="14"/>
  <c r="L13" i="14"/>
  <c r="L14" i="14"/>
  <c r="L5" i="14"/>
  <c r="J6" i="14"/>
  <c r="J7" i="14"/>
  <c r="J8" i="14"/>
  <c r="J9" i="14"/>
  <c r="J10" i="14"/>
  <c r="J11" i="14"/>
  <c r="J12" i="14"/>
  <c r="J13" i="14"/>
  <c r="J14" i="14"/>
  <c r="J5" i="14"/>
  <c r="I6" i="14"/>
  <c r="K6" i="14" s="1"/>
  <c r="I7" i="14"/>
  <c r="K7" i="14" s="1"/>
  <c r="I8" i="14"/>
  <c r="K8" i="14" s="1"/>
  <c r="H6" i="14"/>
  <c r="H7" i="14"/>
  <c r="H8" i="14"/>
  <c r="H9" i="14"/>
  <c r="H10" i="14"/>
  <c r="I10" i="14" s="1"/>
  <c r="K10" i="14" s="1"/>
  <c r="H11" i="14"/>
  <c r="I11" i="14" s="1"/>
  <c r="K11" i="14" s="1"/>
  <c r="H12" i="14"/>
  <c r="H13" i="14"/>
  <c r="H14" i="14"/>
  <c r="H5" i="14"/>
  <c r="E6" i="14" a="1"/>
  <c r="E6" i="14"/>
  <c r="E7" i="14" a="1"/>
  <c r="E7" i="14"/>
  <c r="E8" i="14" a="1"/>
  <c r="E8" i="14"/>
  <c r="E9" i="14" a="1"/>
  <c r="E9" i="14"/>
  <c r="I9" i="14" s="1"/>
  <c r="K9" i="14" s="1"/>
  <c r="E10" i="14" a="1"/>
  <c r="E10" i="14"/>
  <c r="E11" i="14" a="1"/>
  <c r="E11" i="14" s="1"/>
  <c r="E12" i="14" a="1"/>
  <c r="E12" i="14"/>
  <c r="I12" i="14" s="1"/>
  <c r="K12" i="14" s="1"/>
  <c r="E13" i="14" a="1"/>
  <c r="E13" i="14"/>
  <c r="I13" i="14" s="1"/>
  <c r="K13" i="14" s="1"/>
  <c r="E14" i="14" a="1"/>
  <c r="E14" i="14"/>
  <c r="I14" i="14" s="1"/>
  <c r="K14" i="14" s="1"/>
  <c r="E5" i="14" a="1"/>
  <c r="E5" i="14" s="1"/>
  <c r="I5" i="14" s="1"/>
  <c r="K5" i="14" s="1"/>
  <c r="I12" i="13"/>
  <c r="I16" i="13"/>
  <c r="I17" i="13"/>
  <c r="H7" i="13"/>
  <c r="H8" i="13"/>
  <c r="H9" i="13"/>
  <c r="H10" i="13"/>
  <c r="I10" i="13" s="1"/>
  <c r="H11" i="13"/>
  <c r="H12" i="13"/>
  <c r="J12" i="13" s="1"/>
  <c r="H13" i="13"/>
  <c r="I13" i="13" s="1"/>
  <c r="H14" i="13"/>
  <c r="I14" i="13" s="1"/>
  <c r="H15" i="13"/>
  <c r="H16" i="13"/>
  <c r="J16" i="13" s="1"/>
  <c r="H17" i="13"/>
  <c r="J17" i="13" s="1"/>
  <c r="H6" i="13"/>
  <c r="G7" i="13"/>
  <c r="G8" i="13"/>
  <c r="G9" i="13"/>
  <c r="G10" i="13"/>
  <c r="G11" i="13"/>
  <c r="G12" i="13"/>
  <c r="G13" i="13"/>
  <c r="G14" i="13"/>
  <c r="G15" i="13"/>
  <c r="G16" i="13"/>
  <c r="G17" i="13"/>
  <c r="G6" i="13"/>
  <c r="F7" i="13"/>
  <c r="F8" i="13"/>
  <c r="F9" i="13"/>
  <c r="F10" i="13"/>
  <c r="F11" i="13"/>
  <c r="F12" i="13"/>
  <c r="F13" i="13"/>
  <c r="F14" i="13"/>
  <c r="F15" i="13"/>
  <c r="F16" i="13"/>
  <c r="F17" i="13"/>
  <c r="F6" i="13"/>
  <c r="E7" i="13"/>
  <c r="E8" i="13"/>
  <c r="E9" i="13"/>
  <c r="E10" i="13"/>
  <c r="E11" i="13"/>
  <c r="E12" i="13"/>
  <c r="E13" i="13"/>
  <c r="E14" i="13"/>
  <c r="E15" i="13"/>
  <c r="E16" i="13"/>
  <c r="E17" i="13"/>
  <c r="E6" i="13"/>
  <c r="I11" i="12"/>
  <c r="I14" i="12"/>
  <c r="H11" i="12"/>
  <c r="J11" i="12" s="1"/>
  <c r="K11" i="12" s="1"/>
  <c r="H14" i="12"/>
  <c r="J14" i="12" s="1"/>
  <c r="K14" i="12" s="1"/>
  <c r="H16" i="12"/>
  <c r="J16" i="12" s="1"/>
  <c r="K16" i="12" s="1"/>
  <c r="G7" i="12"/>
  <c r="I7" i="12" s="1"/>
  <c r="G8" i="12"/>
  <c r="I8" i="12" s="1"/>
  <c r="G9" i="12"/>
  <c r="I9" i="12" s="1"/>
  <c r="G10" i="12"/>
  <c r="I10" i="12" s="1"/>
  <c r="G11" i="12"/>
  <c r="G12" i="12"/>
  <c r="I12" i="12" s="1"/>
  <c r="G13" i="12"/>
  <c r="H13" i="12" s="1"/>
  <c r="G14" i="12"/>
  <c r="G15" i="12"/>
  <c r="I15" i="12" s="1"/>
  <c r="G16" i="12"/>
  <c r="I16" i="12" s="1"/>
  <c r="G17" i="12"/>
  <c r="I17" i="12" s="1"/>
  <c r="G6" i="12"/>
  <c r="H6" i="12" s="1"/>
  <c r="F7" i="12"/>
  <c r="F8" i="12"/>
  <c r="F9" i="12"/>
  <c r="F10" i="12"/>
  <c r="F11" i="12"/>
  <c r="F12" i="12"/>
  <c r="F13" i="12"/>
  <c r="F14" i="12"/>
  <c r="F15" i="12"/>
  <c r="F16" i="12"/>
  <c r="F17" i="12"/>
  <c r="F6" i="12"/>
  <c r="H10" i="11"/>
  <c r="H11" i="11"/>
  <c r="H12" i="11"/>
  <c r="H13" i="11"/>
  <c r="H14" i="11"/>
  <c r="I14" i="11" s="1"/>
  <c r="H15" i="11"/>
  <c r="I15" i="11" s="1"/>
  <c r="G6" i="11"/>
  <c r="G7" i="11"/>
  <c r="G8" i="11"/>
  <c r="I8" i="11" s="1"/>
  <c r="G9" i="11"/>
  <c r="I9" i="11" s="1"/>
  <c r="G10" i="11"/>
  <c r="I10" i="11" s="1"/>
  <c r="G11" i="11"/>
  <c r="I11" i="11" s="1"/>
  <c r="G12" i="11"/>
  <c r="I12" i="11" s="1"/>
  <c r="G13" i="11"/>
  <c r="I13" i="11" s="1"/>
  <c r="G14" i="11"/>
  <c r="G15" i="11"/>
  <c r="G16" i="11"/>
  <c r="G17" i="11"/>
  <c r="G18" i="11"/>
  <c r="G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5" i="11"/>
  <c r="I14" i="9"/>
  <c r="I15" i="9"/>
  <c r="I16" i="9"/>
  <c r="I17" i="9"/>
  <c r="I18" i="9"/>
  <c r="I19" i="9"/>
  <c r="I20" i="9"/>
  <c r="I13" i="9"/>
  <c r="H14" i="9"/>
  <c r="H15" i="9"/>
  <c r="H16" i="9"/>
  <c r="H17" i="9"/>
  <c r="H18" i="9"/>
  <c r="H19" i="9"/>
  <c r="H20" i="9"/>
  <c r="H13" i="9"/>
  <c r="G14" i="9"/>
  <c r="G15" i="9"/>
  <c r="G16" i="9"/>
  <c r="G17" i="9"/>
  <c r="G18" i="9"/>
  <c r="G19" i="9"/>
  <c r="G20" i="9"/>
  <c r="G13" i="9"/>
  <c r="F14" i="9"/>
  <c r="F15" i="9"/>
  <c r="F16" i="9"/>
  <c r="F17" i="9"/>
  <c r="F18" i="9"/>
  <c r="F19" i="9"/>
  <c r="F20" i="9"/>
  <c r="F13" i="9"/>
  <c r="E14" i="9"/>
  <c r="E15" i="9"/>
  <c r="E16" i="9"/>
  <c r="E17" i="9"/>
  <c r="E18" i="9"/>
  <c r="E19" i="9"/>
  <c r="E20" i="9"/>
  <c r="E13" i="9"/>
  <c r="D14" i="9"/>
  <c r="D15" i="9"/>
  <c r="D16" i="9"/>
  <c r="D17" i="9"/>
  <c r="D18" i="9"/>
  <c r="D19" i="9"/>
  <c r="D20" i="9"/>
  <c r="D13" i="9"/>
  <c r="D21" i="4"/>
  <c r="D20" i="4"/>
  <c r="D19" i="4"/>
  <c r="D18" i="4"/>
  <c r="J8" i="4"/>
  <c r="J9" i="4"/>
  <c r="J10" i="4"/>
  <c r="J11" i="4"/>
  <c r="J12" i="4"/>
  <c r="J13" i="4"/>
  <c r="J14" i="4"/>
  <c r="J15" i="4"/>
  <c r="J16" i="4"/>
  <c r="J7" i="4"/>
  <c r="I8" i="4"/>
  <c r="I9" i="4"/>
  <c r="I10" i="4"/>
  <c r="I11" i="4"/>
  <c r="I12" i="4"/>
  <c r="I13" i="4"/>
  <c r="I14" i="4"/>
  <c r="I15" i="4"/>
  <c r="I16" i="4"/>
  <c r="I7" i="4"/>
  <c r="L10" i="4"/>
  <c r="L11" i="4"/>
  <c r="L12" i="4"/>
  <c r="L16" i="4"/>
  <c r="K10" i="4"/>
  <c r="K16" i="4"/>
  <c r="K7" i="4"/>
  <c r="H8" i="4"/>
  <c r="H9" i="4"/>
  <c r="H10" i="4"/>
  <c r="H11" i="4"/>
  <c r="H12" i="4"/>
  <c r="H13" i="4"/>
  <c r="H14" i="4"/>
  <c r="H15" i="4"/>
  <c r="H16" i="4"/>
  <c r="M16" i="4" s="1"/>
  <c r="H7" i="4"/>
  <c r="G8" i="4" a="1"/>
  <c r="G8" i="4"/>
  <c r="L8" i="4" s="1"/>
  <c r="G9" i="4" a="1"/>
  <c r="G9" i="4" s="1"/>
  <c r="G10" i="4" a="1"/>
  <c r="G10" i="4"/>
  <c r="G11" i="4" a="1"/>
  <c r="G11" i="4"/>
  <c r="K11" i="4" s="1"/>
  <c r="G12" i="4" a="1"/>
  <c r="G12" i="4"/>
  <c r="K12" i="4" s="1"/>
  <c r="G13" i="4" a="1"/>
  <c r="G13" i="4" s="1"/>
  <c r="K13" i="4" s="1"/>
  <c r="G14" i="4" a="1"/>
  <c r="G14" i="4"/>
  <c r="K14" i="4" s="1"/>
  <c r="G15" i="4" a="1"/>
  <c r="G15" i="4"/>
  <c r="K15" i="4" s="1"/>
  <c r="G16" i="4" a="1"/>
  <c r="G16" i="4"/>
  <c r="G7" i="4" a="1"/>
  <c r="G7" i="4" s="1"/>
  <c r="L7" i="4" s="1"/>
  <c r="J10" i="7"/>
  <c r="J11" i="7"/>
  <c r="J12" i="7"/>
  <c r="J13" i="7"/>
  <c r="J14" i="7"/>
  <c r="J15" i="7"/>
  <c r="J16" i="7"/>
  <c r="J17" i="7"/>
  <c r="J18" i="7"/>
  <c r="J9" i="7"/>
  <c r="E19" i="7"/>
  <c r="H10" i="7"/>
  <c r="H11" i="7"/>
  <c r="H12" i="7"/>
  <c r="H13" i="7"/>
  <c r="H14" i="7"/>
  <c r="H15" i="7"/>
  <c r="H16" i="7"/>
  <c r="H17" i="7"/>
  <c r="H18" i="7"/>
  <c r="H9" i="7"/>
  <c r="G12" i="7"/>
  <c r="G9" i="7"/>
  <c r="F10" i="7"/>
  <c r="G10" i="7" s="1"/>
  <c r="F11" i="7"/>
  <c r="G11" i="7" s="1"/>
  <c r="F12" i="7"/>
  <c r="F13" i="7"/>
  <c r="G13" i="7" s="1"/>
  <c r="F14" i="7"/>
  <c r="G14" i="7" s="1"/>
  <c r="F15" i="7"/>
  <c r="G15" i="7" s="1"/>
  <c r="F16" i="7"/>
  <c r="G16" i="7" s="1"/>
  <c r="I16" i="7" s="1"/>
  <c r="F17" i="7"/>
  <c r="G17" i="7" s="1"/>
  <c r="I17" i="7" s="1"/>
  <c r="F18" i="7"/>
  <c r="G18" i="7" s="1"/>
  <c r="I18" i="7" s="1"/>
  <c r="F9" i="7"/>
  <c r="D10" i="7"/>
  <c r="D11" i="7"/>
  <c r="D12" i="7"/>
  <c r="D13" i="7"/>
  <c r="D14" i="7"/>
  <c r="D15" i="7"/>
  <c r="D16" i="7"/>
  <c r="D17" i="7"/>
  <c r="D18" i="7"/>
  <c r="D9" i="7"/>
  <c r="E79" i="3"/>
  <c r="F79" i="3" s="1"/>
  <c r="E80" i="3"/>
  <c r="F80" i="3" s="1"/>
  <c r="E81" i="3"/>
  <c r="F81" i="3" s="1"/>
  <c r="D79" i="3"/>
  <c r="D80" i="3"/>
  <c r="D81" i="3"/>
  <c r="D84" i="3"/>
  <c r="B79" i="3" a="1"/>
  <c r="B79" i="3"/>
  <c r="B80" i="3" a="1"/>
  <c r="B80" i="3"/>
  <c r="B81" i="3" a="1"/>
  <c r="B81" i="3"/>
  <c r="B82" i="3" a="1"/>
  <c r="B82" i="3"/>
  <c r="E82" i="3" s="1"/>
  <c r="F82" i="3" s="1"/>
  <c r="B83" i="3" a="1"/>
  <c r="B83" i="3" s="1"/>
  <c r="B84" i="3" a="1"/>
  <c r="B84" i="3"/>
  <c r="E84" i="3" s="1"/>
  <c r="F84" i="3" s="1"/>
  <c r="B85" i="3" a="1"/>
  <c r="B85" i="3"/>
  <c r="D85" i="3" s="1"/>
  <c r="B86" i="3" a="1"/>
  <c r="B86" i="3"/>
  <c r="D86" i="3" s="1"/>
  <c r="B78" i="3" a="1"/>
  <c r="B78" i="3" s="1"/>
  <c r="D78" i="3" s="1"/>
  <c r="I56" i="3"/>
  <c r="I57" i="3"/>
  <c r="I58" i="3"/>
  <c r="I59" i="3"/>
  <c r="I60" i="3"/>
  <c r="I61" i="3"/>
  <c r="I62" i="3"/>
  <c r="I63" i="3"/>
  <c r="I55" i="3"/>
  <c r="H56" i="3"/>
  <c r="H57" i="3"/>
  <c r="H58" i="3"/>
  <c r="H59" i="3"/>
  <c r="H60" i="3"/>
  <c r="H61" i="3"/>
  <c r="H62" i="3"/>
  <c r="H63" i="3"/>
  <c r="H55" i="3"/>
  <c r="D56" i="3"/>
  <c r="D57" i="3"/>
  <c r="D58" i="3"/>
  <c r="D59" i="3"/>
  <c r="D60" i="3"/>
  <c r="D61" i="3"/>
  <c r="D62" i="3"/>
  <c r="D63" i="3"/>
  <c r="D55" i="3"/>
  <c r="C56" i="3"/>
  <c r="C57" i="3"/>
  <c r="C58" i="3"/>
  <c r="C59" i="3"/>
  <c r="C60" i="3"/>
  <c r="C61" i="3"/>
  <c r="C62" i="3"/>
  <c r="C63" i="3"/>
  <c r="C55" i="3"/>
  <c r="G33" i="3" a="1"/>
  <c r="G33" i="3"/>
  <c r="G34" i="3" a="1"/>
  <c r="G34" i="3"/>
  <c r="G35" i="3" a="1"/>
  <c r="G35" i="3"/>
  <c r="G36" i="3" a="1"/>
  <c r="G36" i="3" s="1"/>
  <c r="G37" i="3" a="1"/>
  <c r="G37" i="3"/>
  <c r="G38" i="3" a="1"/>
  <c r="G38" i="3"/>
  <c r="G39" i="3" a="1"/>
  <c r="G39" i="3"/>
  <c r="G40" i="3" a="1"/>
  <c r="G40" i="3"/>
  <c r="G32" i="3" a="1"/>
  <c r="G32" i="3" s="1"/>
  <c r="D33" i="3" a="1"/>
  <c r="D33" i="3"/>
  <c r="D34" i="3" a="1"/>
  <c r="D34" i="3"/>
  <c r="D35" i="3" a="1"/>
  <c r="D35" i="3"/>
  <c r="D36" i="3" a="1"/>
  <c r="D36" i="3"/>
  <c r="D37" i="3" a="1"/>
  <c r="D37" i="3"/>
  <c r="D38" i="3" a="1"/>
  <c r="D38" i="3" s="1"/>
  <c r="D39" i="3" a="1"/>
  <c r="D39" i="3"/>
  <c r="D40" i="3" a="1"/>
  <c r="D40" i="3"/>
  <c r="D32" i="3" a="1"/>
  <c r="D32" i="3" s="1"/>
  <c r="C34" i="3" a="1"/>
  <c r="C34" i="3"/>
  <c r="C33" i="3" a="1"/>
  <c r="C33" i="3"/>
  <c r="C35" i="3" a="1"/>
  <c r="C35" i="3"/>
  <c r="C36" i="3" a="1"/>
  <c r="C36" i="3"/>
  <c r="C37" i="3" a="1"/>
  <c r="C37" i="3" s="1"/>
  <c r="C38" i="3" a="1"/>
  <c r="C38" i="3"/>
  <c r="C39" i="3" a="1"/>
  <c r="C39" i="3"/>
  <c r="C40" i="3" a="1"/>
  <c r="C40" i="3"/>
  <c r="C32" i="3" a="1"/>
  <c r="C32" i="3"/>
  <c r="G13" i="3"/>
  <c r="G14" i="3"/>
  <c r="G15" i="3"/>
  <c r="G16" i="3"/>
  <c r="G17" i="3"/>
  <c r="G18" i="3"/>
  <c r="G19" i="3"/>
  <c r="G20" i="3"/>
  <c r="G12" i="3"/>
  <c r="D13" i="3"/>
  <c r="D14" i="3"/>
  <c r="D15" i="3"/>
  <c r="D16" i="3"/>
  <c r="D17" i="3"/>
  <c r="D18" i="3"/>
  <c r="D19" i="3"/>
  <c r="D20" i="3"/>
  <c r="D12" i="3"/>
  <c r="C13" i="3"/>
  <c r="C14" i="3"/>
  <c r="C15" i="3"/>
  <c r="C16" i="3"/>
  <c r="C17" i="3"/>
  <c r="C18" i="3"/>
  <c r="C19" i="3"/>
  <c r="C20" i="3"/>
  <c r="C12" i="3"/>
  <c r="G59" i="6"/>
  <c r="G60" i="6"/>
  <c r="G61" i="6"/>
  <c r="G62" i="6"/>
  <c r="G63" i="6"/>
  <c r="G64" i="6"/>
  <c r="G65" i="6"/>
  <c r="G66" i="6"/>
  <c r="G67" i="6"/>
  <c r="G58" i="6"/>
  <c r="F59" i="6"/>
  <c r="F60" i="6"/>
  <c r="F61" i="6"/>
  <c r="F62" i="6"/>
  <c r="F63" i="6"/>
  <c r="F64" i="6"/>
  <c r="F65" i="6"/>
  <c r="F66" i="6"/>
  <c r="F67" i="6"/>
  <c r="F58" i="6"/>
  <c r="E59" i="6"/>
  <c r="E60" i="6"/>
  <c r="E61" i="6"/>
  <c r="E62" i="6"/>
  <c r="E63" i="6"/>
  <c r="E64" i="6"/>
  <c r="E65" i="6"/>
  <c r="E66" i="6"/>
  <c r="E67" i="6"/>
  <c r="E58" i="6"/>
  <c r="D59" i="6"/>
  <c r="D60" i="6"/>
  <c r="D61" i="6"/>
  <c r="D62" i="6"/>
  <c r="D63" i="6"/>
  <c r="D64" i="6"/>
  <c r="D65" i="6"/>
  <c r="D66" i="6"/>
  <c r="D67" i="6"/>
  <c r="D58" i="6"/>
  <c r="H31" i="6"/>
  <c r="G36" i="6"/>
  <c r="G31" i="6"/>
  <c r="F32" i="6"/>
  <c r="G32" i="6" s="1"/>
  <c r="F33" i="6"/>
  <c r="G33" i="6" s="1"/>
  <c r="F36" i="6"/>
  <c r="H36" i="6" s="1"/>
  <c r="F37" i="6"/>
  <c r="G37" i="6" s="1"/>
  <c r="F38" i="6"/>
  <c r="G38" i="6" s="1"/>
  <c r="F31" i="6"/>
  <c r="E32" i="6"/>
  <c r="E33" i="6"/>
  <c r="E34" i="6"/>
  <c r="F34" i="6" s="1"/>
  <c r="E35" i="6"/>
  <c r="F35" i="6" s="1"/>
  <c r="E36" i="6"/>
  <c r="E37" i="6"/>
  <c r="E38" i="6"/>
  <c r="E39" i="6"/>
  <c r="F39" i="6" s="1"/>
  <c r="E40" i="6"/>
  <c r="F40" i="6" s="1"/>
  <c r="E31" i="6"/>
  <c r="H6" i="6"/>
  <c r="H11" i="6" s="1"/>
  <c r="G7" i="6"/>
  <c r="G8" i="6"/>
  <c r="G6" i="6"/>
  <c r="F6" i="6"/>
  <c r="I6" i="6" s="1"/>
  <c r="E7" i="6"/>
  <c r="H7" i="6" s="1"/>
  <c r="E8" i="6"/>
  <c r="H8" i="6" s="1"/>
  <c r="E9" i="6"/>
  <c r="H9" i="6" s="1"/>
  <c r="E10" i="6"/>
  <c r="H10" i="6" s="1"/>
  <c r="E6" i="6"/>
  <c r="D7" i="6"/>
  <c r="D8" i="6"/>
  <c r="D9" i="6"/>
  <c r="F9" i="6" s="1"/>
  <c r="D10" i="6"/>
  <c r="F10" i="6" s="1"/>
  <c r="D6" i="6"/>
  <c r="H43" i="2"/>
  <c r="H44" i="2"/>
  <c r="H45" i="2"/>
  <c r="H46" i="2"/>
  <c r="H47" i="2"/>
  <c r="H42" i="2"/>
  <c r="G43" i="2"/>
  <c r="G44" i="2"/>
  <c r="G45" i="2"/>
  <c r="G46" i="2"/>
  <c r="G47" i="2"/>
  <c r="G42" i="2"/>
  <c r="F43" i="2"/>
  <c r="F44" i="2"/>
  <c r="F45" i="2"/>
  <c r="F46" i="2"/>
  <c r="F47" i="2"/>
  <c r="F42" i="2"/>
  <c r="E63" i="2"/>
  <c r="E64" i="2"/>
  <c r="E65" i="2"/>
  <c r="E66" i="2"/>
  <c r="E67" i="2"/>
  <c r="E68" i="2"/>
  <c r="E69" i="2"/>
  <c r="E70" i="2"/>
  <c r="E71" i="2"/>
  <c r="E62" i="2"/>
  <c r="F63" i="2"/>
  <c r="F64" i="2"/>
  <c r="F65" i="2"/>
  <c r="F66" i="2"/>
  <c r="F67" i="2"/>
  <c r="F68" i="2"/>
  <c r="F69" i="2"/>
  <c r="F70" i="2"/>
  <c r="F71" i="2"/>
  <c r="F62" i="2"/>
  <c r="D63" i="2"/>
  <c r="D64" i="2"/>
  <c r="D65" i="2"/>
  <c r="D66" i="2"/>
  <c r="D67" i="2"/>
  <c r="D68" i="2"/>
  <c r="D69" i="2"/>
  <c r="D70" i="2"/>
  <c r="D71" i="2"/>
  <c r="D62" i="2"/>
  <c r="C63" i="2"/>
  <c r="C64" i="2"/>
  <c r="C65" i="2"/>
  <c r="C66" i="2"/>
  <c r="C67" i="2"/>
  <c r="C68" i="2"/>
  <c r="C69" i="2"/>
  <c r="C70" i="2"/>
  <c r="C71" i="2"/>
  <c r="C62" i="2"/>
  <c r="E43" i="2"/>
  <c r="E44" i="2"/>
  <c r="E45" i="2"/>
  <c r="E46" i="2"/>
  <c r="E47" i="2"/>
  <c r="E42" i="2"/>
  <c r="D43" i="2"/>
  <c r="D44" i="2"/>
  <c r="D45" i="2"/>
  <c r="D46" i="2"/>
  <c r="D47" i="2"/>
  <c r="D42" i="2"/>
  <c r="C43" i="2"/>
  <c r="C44" i="2"/>
  <c r="C45" i="2"/>
  <c r="C46" i="2"/>
  <c r="C47" i="2"/>
  <c r="C42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C37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C32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13" i="2"/>
  <c r="D6" i="11"/>
  <c r="H6" i="11" s="1"/>
  <c r="D7" i="11"/>
  <c r="H7" i="11" s="1"/>
  <c r="D8" i="11"/>
  <c r="H8" i="11" s="1"/>
  <c r="D9" i="11"/>
  <c r="H9" i="11" s="1"/>
  <c r="D10" i="11"/>
  <c r="D11" i="11"/>
  <c r="D12" i="11"/>
  <c r="D13" i="11"/>
  <c r="D14" i="11"/>
  <c r="D15" i="11"/>
  <c r="D16" i="11"/>
  <c r="H16" i="11" s="1"/>
  <c r="I16" i="11" s="1"/>
  <c r="D17" i="11"/>
  <c r="H17" i="11" s="1"/>
  <c r="I17" i="11" s="1"/>
  <c r="D18" i="11"/>
  <c r="H18" i="11" s="1"/>
  <c r="D5" i="11"/>
  <c r="H5" i="11" s="1"/>
  <c r="A7" i="12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J21" i="15" l="1"/>
  <c r="K9" i="15"/>
  <c r="K20" i="15"/>
  <c r="K7" i="15"/>
  <c r="K18" i="15"/>
  <c r="K17" i="15"/>
  <c r="K8" i="15"/>
  <c r="K19" i="15"/>
  <c r="K16" i="15"/>
  <c r="K6" i="15"/>
  <c r="K21" i="15" s="1"/>
  <c r="J8" i="13"/>
  <c r="I6" i="13"/>
  <c r="J6" i="13" s="1"/>
  <c r="I15" i="13"/>
  <c r="J15" i="13" s="1"/>
  <c r="I11" i="13"/>
  <c r="J11" i="13" s="1"/>
  <c r="J10" i="13"/>
  <c r="I9" i="13"/>
  <c r="J9" i="13" s="1"/>
  <c r="J14" i="13"/>
  <c r="J13" i="13"/>
  <c r="I8" i="13"/>
  <c r="I7" i="13"/>
  <c r="J7" i="13" s="1"/>
  <c r="H17" i="12"/>
  <c r="J17" i="12" s="1"/>
  <c r="K17" i="12" s="1"/>
  <c r="I13" i="12"/>
  <c r="J13" i="12" s="1"/>
  <c r="K13" i="12" s="1"/>
  <c r="H10" i="12"/>
  <c r="J10" i="12" s="1"/>
  <c r="K10" i="12" s="1"/>
  <c r="H9" i="12"/>
  <c r="J9" i="12" s="1"/>
  <c r="K9" i="12" s="1"/>
  <c r="I6" i="12"/>
  <c r="J6" i="12" s="1"/>
  <c r="K6" i="12" s="1"/>
  <c r="H15" i="12"/>
  <c r="J15" i="12" s="1"/>
  <c r="K15" i="12" s="1"/>
  <c r="H12" i="12"/>
  <c r="J12" i="12" s="1"/>
  <c r="K12" i="12" s="1"/>
  <c r="H8" i="12"/>
  <c r="J8" i="12" s="1"/>
  <c r="K8" i="12" s="1"/>
  <c r="H7" i="12"/>
  <c r="J7" i="12" s="1"/>
  <c r="K7" i="12" s="1"/>
  <c r="I18" i="11"/>
  <c r="I7" i="11"/>
  <c r="I5" i="11"/>
  <c r="I6" i="11"/>
  <c r="K9" i="4"/>
  <c r="L9" i="4"/>
  <c r="M9" i="4"/>
  <c r="L15" i="4"/>
  <c r="L14" i="4"/>
  <c r="K8" i="4"/>
  <c r="M8" i="4" s="1"/>
  <c r="L13" i="4"/>
  <c r="M7" i="4"/>
  <c r="M15" i="4"/>
  <c r="M14" i="4"/>
  <c r="M13" i="4"/>
  <c r="M12" i="4"/>
  <c r="M11" i="4"/>
  <c r="M10" i="4"/>
  <c r="I9" i="7"/>
  <c r="I13" i="7"/>
  <c r="I20" i="7" s="1"/>
  <c r="I15" i="7"/>
  <c r="I14" i="7"/>
  <c r="I12" i="7"/>
  <c r="I21" i="7" s="1"/>
  <c r="I11" i="7"/>
  <c r="I10" i="7"/>
  <c r="I19" i="7" s="1"/>
  <c r="E22" i="7"/>
  <c r="E20" i="7"/>
  <c r="E21" i="7"/>
  <c r="E83" i="3"/>
  <c r="F83" i="3" s="1"/>
  <c r="D83" i="3"/>
  <c r="D82" i="3"/>
  <c r="E78" i="3"/>
  <c r="F78" i="3" s="1"/>
  <c r="E86" i="3"/>
  <c r="F86" i="3" s="1"/>
  <c r="E85" i="3"/>
  <c r="F85" i="3" s="1"/>
  <c r="G40" i="6"/>
  <c r="H40" i="6" s="1"/>
  <c r="G39" i="6"/>
  <c r="H39" i="6"/>
  <c r="G35" i="6"/>
  <c r="H35" i="6" s="1"/>
  <c r="H42" i="6" s="1"/>
  <c r="G34" i="6"/>
  <c r="H34" i="6"/>
  <c r="I10" i="6"/>
  <c r="F8" i="6"/>
  <c r="I8" i="6" s="1"/>
  <c r="I11" i="6" s="1"/>
  <c r="H33" i="6"/>
  <c r="D11" i="6"/>
  <c r="F7" i="6"/>
  <c r="I7" i="6" s="1"/>
  <c r="H32" i="6"/>
  <c r="G10" i="6"/>
  <c r="E11" i="6"/>
  <c r="G9" i="6"/>
  <c r="I9" i="6" s="1"/>
  <c r="H38" i="6"/>
  <c r="H37" i="6"/>
  <c r="I22" i="7" l="1"/>
  <c r="H45" i="6"/>
  <c r="H43" i="6"/>
  <c r="F11" i="6"/>
  <c r="H41" i="6"/>
  <c r="H44" i="6"/>
  <c r="G11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<sst xmlns="http://schemas.openxmlformats.org/spreadsheetml/2006/main" count="864" uniqueCount="623">
  <si>
    <t>NAMA</t>
  </si>
  <si>
    <t>Acuan Relatif</t>
  </si>
  <si>
    <t>X</t>
  </si>
  <si>
    <t>Y</t>
  </si>
  <si>
    <t>X * Y</t>
  </si>
  <si>
    <t>Acuan Absolut</t>
  </si>
  <si>
    <t>Faktor Pengali X =</t>
  </si>
  <si>
    <t>X*Y</t>
  </si>
  <si>
    <t>Gabungan Acuan Relatif dan Absolut</t>
  </si>
  <si>
    <t>*</t>
  </si>
  <si>
    <t>KIRI</t>
  </si>
  <si>
    <t>KANAN</t>
  </si>
  <si>
    <t>TENGAH</t>
  </si>
  <si>
    <t>JUMLAH KARAKTER</t>
  </si>
  <si>
    <t>AMINI</t>
  </si>
  <si>
    <t>AKBAR</t>
  </si>
  <si>
    <t>ABDURRAHMAN</t>
  </si>
  <si>
    <t>MEGAWATI</t>
  </si>
  <si>
    <t>BAMBANG</t>
  </si>
  <si>
    <t>BAHARUDIN</t>
  </si>
  <si>
    <t>MATORI</t>
  </si>
  <si>
    <t>MAHFUD</t>
  </si>
  <si>
    <t>YUSRIL</t>
  </si>
  <si>
    <t>HAMZAH HAZ</t>
  </si>
  <si>
    <t>Perintah :</t>
  </si>
  <si>
    <r>
      <t xml:space="preserve">1. </t>
    </r>
    <r>
      <rPr>
        <b/>
        <sz val="10"/>
        <rFont val="Arial"/>
        <family val="2"/>
      </rPr>
      <t xml:space="preserve">(LEFT) </t>
    </r>
    <r>
      <rPr>
        <sz val="10"/>
        <rFont val="Arial"/>
        <family val="2"/>
      </rPr>
      <t>Pilihlah 3 huruf paling kiri dari 10 nama.</t>
    </r>
  </si>
  <si>
    <r>
      <t xml:space="preserve">2. </t>
    </r>
    <r>
      <rPr>
        <b/>
        <sz val="10"/>
        <rFont val="Arial"/>
        <family val="2"/>
      </rPr>
      <t xml:space="preserve">(RIGHT) </t>
    </r>
    <r>
      <rPr>
        <sz val="10"/>
        <rFont val="Arial"/>
        <family val="2"/>
      </rPr>
      <t>Pilihlah 2 huruf paling kanan dari 10 nama.</t>
    </r>
  </si>
  <si>
    <t>Fungsi String</t>
  </si>
  <si>
    <t>AMI</t>
  </si>
  <si>
    <t>NI</t>
  </si>
  <si>
    <t>MIN</t>
  </si>
  <si>
    <t>AKB</t>
  </si>
  <si>
    <t>AR</t>
  </si>
  <si>
    <t>KBA</t>
  </si>
  <si>
    <t>ABD</t>
  </si>
  <si>
    <t>AN</t>
  </si>
  <si>
    <t>BDU</t>
  </si>
  <si>
    <t>MEG</t>
  </si>
  <si>
    <t>TI</t>
  </si>
  <si>
    <t>EGA</t>
  </si>
  <si>
    <t>BAM</t>
  </si>
  <si>
    <t>NG</t>
  </si>
  <si>
    <t>AMB</t>
  </si>
  <si>
    <t>BAH</t>
  </si>
  <si>
    <t>IN</t>
  </si>
  <si>
    <t>AHA</t>
  </si>
  <si>
    <t>MAT</t>
  </si>
  <si>
    <t>RI</t>
  </si>
  <si>
    <t>ATO</t>
  </si>
  <si>
    <t>MAH</t>
  </si>
  <si>
    <t>UD</t>
  </si>
  <si>
    <t>AHF</t>
  </si>
  <si>
    <t>YUS</t>
  </si>
  <si>
    <t>IL</t>
  </si>
  <si>
    <t>USR</t>
  </si>
  <si>
    <t>HAM</t>
  </si>
  <si>
    <t>AZ</t>
  </si>
  <si>
    <t>AMZ</t>
  </si>
  <si>
    <t>Jawaban</t>
  </si>
  <si>
    <t>KODE</t>
  </si>
  <si>
    <t>BARANG</t>
  </si>
  <si>
    <t>HARGA</t>
  </si>
  <si>
    <t xml:space="preserve">NILAI </t>
  </si>
  <si>
    <t>KETERANGAN</t>
  </si>
  <si>
    <t>Keterangan</t>
  </si>
  <si>
    <t>Keterangan:</t>
  </si>
  <si>
    <t>KEYBOARD</t>
  </si>
  <si>
    <t>HARDISK</t>
  </si>
  <si>
    <t>101 = KEYBOARD = Rp 50.000</t>
  </si>
  <si>
    <t>102 = HARDISK = Rp 550.000</t>
  </si>
  <si>
    <t>jika besar nilai 50 ke atas, maka "Lulus"</t>
  </si>
  <si>
    <t>jika besar nilai dibawah 49, mata "Tidak Lulus"</t>
  </si>
  <si>
    <t>jika besar nilai antara 60-100, maka "Lulus"</t>
  </si>
  <si>
    <t>jika besar nilai antara 45-60, maka "Hampir Lulus"</t>
  </si>
  <si>
    <t>CPU</t>
  </si>
  <si>
    <t>103 = CPU = Rp 2.000.000</t>
  </si>
  <si>
    <t>jika besar nilai antara 0-45, maka "Tidak Lulus"</t>
  </si>
  <si>
    <t>N0</t>
  </si>
  <si>
    <t>NAMA KARYAWAN</t>
  </si>
  <si>
    <t>GOL</t>
  </si>
  <si>
    <t>STATUS</t>
  </si>
  <si>
    <t>JUMLAH ANAK</t>
  </si>
  <si>
    <t>JABATAN STRUKTURAL</t>
  </si>
  <si>
    <t>GAJI POKOK</t>
  </si>
  <si>
    <t>TUNJ. ISTRI</t>
  </si>
  <si>
    <t>TUNJ. ANAK</t>
  </si>
  <si>
    <t>TUNJ. STRUKTURAL</t>
  </si>
  <si>
    <t>TUNJ. TRANSPORT</t>
  </si>
  <si>
    <t>TOTAL GAJI</t>
  </si>
  <si>
    <t>TRANSPORT</t>
  </si>
  <si>
    <t>I</t>
  </si>
  <si>
    <t>NIKAH</t>
  </si>
  <si>
    <t>IV</t>
  </si>
  <si>
    <t>III</t>
  </si>
  <si>
    <t>II</t>
  </si>
  <si>
    <t>BELUM</t>
  </si>
  <si>
    <t>TOTAL GOL. I</t>
  </si>
  <si>
    <t>TOTAL GOL II</t>
  </si>
  <si>
    <t>TOTAL GOL.III</t>
  </si>
  <si>
    <t>TOTAL GOL.IV</t>
  </si>
  <si>
    <t>TABEL 2</t>
  </si>
  <si>
    <t>TABEL 1</t>
  </si>
  <si>
    <t>JABATAN</t>
  </si>
  <si>
    <t>DIREKSI</t>
  </si>
  <si>
    <t>KABAG</t>
  </si>
  <si>
    <t>KASUBAG</t>
  </si>
  <si>
    <t>STAF</t>
  </si>
  <si>
    <t>GOLONGAN</t>
  </si>
  <si>
    <t>BESAR TUNJ</t>
  </si>
  <si>
    <t>TABEL 3</t>
  </si>
  <si>
    <t>MOBIL</t>
  </si>
  <si>
    <t>MOTOR</t>
  </si>
  <si>
    <t>BUS PABRIK</t>
  </si>
  <si>
    <t>MIKROLET</t>
  </si>
  <si>
    <t>Perintah:</t>
  </si>
  <si>
    <t>Kolom Jabatan diisi berdasarkan fungsi logika, jika Gol I = Staf; Gol II = Kasubag; Gol III = Kabag; Gol IV = Direksi</t>
  </si>
  <si>
    <t>Kolom Gaji Pokok, Tunjangan Istri dan anak diisi berdasarkan fungsi baca tabel yang sesuai (tabel 1):</t>
  </si>
  <si>
    <t>- tunjangan istri diberikan kepada pegawai yang telah menikah</t>
  </si>
  <si>
    <t>- tunjangan anak diberikan kepada pegawai yang telah menikah dengan ketentuan: jika anak &lt;= 3, maka jumlah anak dikalikan tunjangan anak</t>
  </si>
  <si>
    <t>Kolom Tunjangan Struktural diisi berdasarkan fungsi baca tabel yang sesuai (tabel 2)</t>
  </si>
  <si>
    <t>Kolom Tunjangan Transport diisi berdasarkan fungsi baca tabel yang sesuai (tabel 3)</t>
  </si>
  <si>
    <t>Total Gaji adalah penjumlahan dari Gaji Pokok + Tunj. Istri + Tunj. Anak + Tunj. Struktural</t>
  </si>
  <si>
    <t>Total Gol I / II / III / IV diisi menggunakan rumus "SUMIF"</t>
  </si>
  <si>
    <t>Kerjakan tabel dibawah ini sesuai dengan petunjuk yang ada</t>
  </si>
  <si>
    <t>Jumlah</t>
  </si>
  <si>
    <t>A</t>
  </si>
  <si>
    <t xml:space="preserve">   jika lebih, maka tunjangan anak dikalikan 4 (pake rumus =IF(and(…..)</t>
  </si>
  <si>
    <t xml:space="preserve">    kerjakan di bawah sini!</t>
  </si>
  <si>
    <t>REKAPITULASI PENJUALAN</t>
  </si>
  <si>
    <t>No</t>
  </si>
  <si>
    <t>JML UNIT</t>
  </si>
  <si>
    <t>HARGA TOTAL (Rp.)</t>
  </si>
  <si>
    <t>TOTAL</t>
  </si>
  <si>
    <t>DISCOUNT</t>
  </si>
  <si>
    <t>MONITOR</t>
  </si>
  <si>
    <t>BERSIH</t>
  </si>
  <si>
    <t>DAFTAR HARGA / UNIT</t>
  </si>
  <si>
    <t>% DISC.</t>
  </si>
  <si>
    <t xml:space="preserve">TOTAL HARGA </t>
  </si>
  <si>
    <t>= JUMLAH UNIT X HARGA PER UNIT</t>
  </si>
  <si>
    <t xml:space="preserve">TOTAL </t>
  </si>
  <si>
    <t>= HRG TOT MONITOR + HRG TOT CPU</t>
  </si>
  <si>
    <t xml:space="preserve">DISCOUNT </t>
  </si>
  <si>
    <t>= HRG TOT MONTR X % DISC</t>
  </si>
  <si>
    <t>= HRG TOT CPU X % DISC</t>
  </si>
  <si>
    <t xml:space="preserve">TOTAL BERSIH </t>
  </si>
  <si>
    <t>= TOTAL - (DISC. MONTR + DISC. CPU)</t>
  </si>
  <si>
    <t>REKAP GAJI</t>
  </si>
  <si>
    <t>BULAN MARET TAHUN 2008</t>
  </si>
  <si>
    <t>TUNJANGAN</t>
  </si>
  <si>
    <t>JUMLAH</t>
  </si>
  <si>
    <t>INFAQ</t>
  </si>
  <si>
    <t>GAJI BERSIH</t>
  </si>
  <si>
    <t>Endang</t>
  </si>
  <si>
    <t>Hari Andriani</t>
  </si>
  <si>
    <t>Rahayu Pratiwi</t>
  </si>
  <si>
    <t>Koko` L.</t>
  </si>
  <si>
    <t>Lambang D.</t>
  </si>
  <si>
    <t>Baharuddin</t>
  </si>
  <si>
    <t>Heksa S.</t>
  </si>
  <si>
    <t>Irma Daniyati</t>
  </si>
  <si>
    <t>Ina Kurniawati</t>
  </si>
  <si>
    <t xml:space="preserve">Kertamiharja </t>
  </si>
  <si>
    <t>Rata-rata (AVERAGE)</t>
  </si>
  <si>
    <t>Nilai Tertinggi (MAX)</t>
  </si>
  <si>
    <t>Nilai Terendah (MIN)</t>
  </si>
  <si>
    <t>Nilai Tengah (MEDIAN)</t>
  </si>
  <si>
    <t>1. Tunjangan = gaji pokok x 15 %</t>
  </si>
  <si>
    <t>2. Jumlah = gj. Pokok + Tunjangan</t>
  </si>
  <si>
    <t>3. Infaq = jumlah x 2,5 %</t>
  </si>
  <si>
    <t>4. Gj. Bersih = Jumlah - Infaq</t>
  </si>
  <si>
    <t xml:space="preserve">5. Cari Nilai Tertinggi (Max), Terendah (Min), Nilai Tengah '(Median), dan Rata-rata atas nilai yang </t>
  </si>
  <si>
    <t>berada pada kolom 'Gj. Pokok, Tunjangan, Jumlah, Infaq dan Gj. Bersih</t>
  </si>
  <si>
    <t>FUNGSI STRING</t>
  </si>
  <si>
    <r>
      <t xml:space="preserve">1. </t>
    </r>
    <r>
      <rPr>
        <b/>
        <sz val="10"/>
        <rFont val="Arial"/>
        <family val="2"/>
      </rPr>
      <t xml:space="preserve">(LEFT) </t>
    </r>
    <r>
      <rPr>
        <sz val="11"/>
        <color theme="1"/>
        <rFont val="Calibri"/>
        <family val="2"/>
        <scheme val="minor"/>
      </rPr>
      <t>Pilihlah 3 huruf paling kiri dari 10 nama.</t>
    </r>
  </si>
  <si>
    <r>
      <t xml:space="preserve">2. </t>
    </r>
    <r>
      <rPr>
        <b/>
        <sz val="10"/>
        <rFont val="Arial"/>
        <family val="2"/>
      </rPr>
      <t xml:space="preserve">(RIGHT) </t>
    </r>
    <r>
      <rPr>
        <sz val="11"/>
        <color theme="1"/>
        <rFont val="Calibri"/>
        <family val="2"/>
        <scheme val="minor"/>
      </rPr>
      <t>Pilihlah 2 huruf paling kanan dari 10 nama.</t>
    </r>
  </si>
  <si>
    <t>Fungsi Hlookup</t>
  </si>
  <si>
    <t>Fungsi Vlookup</t>
  </si>
  <si>
    <t>Fungsi IF</t>
  </si>
  <si>
    <t>LAPORAN PENJUALAN KOMPONEN KOMPUTER</t>
  </si>
  <si>
    <t>TANGGAL</t>
  </si>
  <si>
    <t xml:space="preserve">JUMLAH </t>
  </si>
  <si>
    <t xml:space="preserve">HARGA </t>
  </si>
  <si>
    <t>POTONGAN</t>
  </si>
  <si>
    <t>PEMBAYARAN</t>
  </si>
  <si>
    <t>SATUAN</t>
  </si>
  <si>
    <t>PENJUALAN</t>
  </si>
  <si>
    <t>Total Penj. Hardisk</t>
  </si>
  <si>
    <t>Total Penj. Monitor</t>
  </si>
  <si>
    <t>Total Penj. Keyboard</t>
  </si>
  <si>
    <t>VERTIKAL</t>
  </si>
  <si>
    <t>HORIZONTAL</t>
  </si>
  <si>
    <t>* Isilah Kolom NAMA BARANG dan HARGA SATUAN berdasarkan pada KODE BARANG sesuai tabel masing-masing.</t>
  </si>
  <si>
    <t>* Isilah Kolom HARGA TOTAL = jumlah barang x harga satuan</t>
  </si>
  <si>
    <t>* Isilah Potongan Peenjualan = discount (%) x harga total ; besarnya discount lihat pada tabel.</t>
  </si>
  <si>
    <t>* Pembayaran Total = Harga total - Potongan Penjualan</t>
  </si>
  <si>
    <t>* Total Penjualan Hardisk / Monitor / Keyboar : total penjualan khusus tanggal 2 sampai 25. (pake rumus "COUNTIF" dan "SUMIF")</t>
  </si>
  <si>
    <t>* Kontrol Nilai : jika sesuai antara "TOTAL" dengan "total penjualan masing-masing barang"</t>
  </si>
  <si>
    <t>CV PERMATA</t>
  </si>
  <si>
    <t>FUNGSI AND dan OR</t>
  </si>
  <si>
    <t>=AND(logical1;logical2)</t>
  </si>
  <si>
    <t>=OR(logical1;logical2)</t>
  </si>
  <si>
    <t>Nilai Huruf</t>
  </si>
  <si>
    <t>Nilai Angka</t>
  </si>
  <si>
    <t>Kehadiran</t>
  </si>
  <si>
    <t>AND</t>
  </si>
  <si>
    <t>OR</t>
  </si>
  <si>
    <t>B</t>
  </si>
  <si>
    <t>C</t>
  </si>
  <si>
    <t>D</t>
  </si>
  <si>
    <t>Deteksi</t>
  </si>
  <si>
    <t>A = 4; B = 3; C = 2; D = 1</t>
  </si>
  <si>
    <t>PERHATIAN!</t>
  </si>
  <si>
    <t>Bentuk</t>
  </si>
  <si>
    <t>=IF(logical_test;value_if_true;value_if_false)</t>
  </si>
  <si>
    <t>=IF(kondisi;aksi-1;aksi-2)</t>
  </si>
  <si>
    <t>=IF(x;y;z)</t>
  </si>
  <si>
    <t>Cara Baca</t>
  </si>
  <si>
    <t>(Jika x = n;maka y; jika tidak maka z)</t>
  </si>
  <si>
    <t>n = kondisi</t>
  </si>
  <si>
    <t>=IF(x1;y1;IF(x2;y2;z))</t>
  </si>
  <si>
    <t>VLOOKUP dan HLOOKUP</t>
  </si>
  <si>
    <t>bentuk</t>
  </si>
  <si>
    <t>=vlookup(lookup_value;table_array;col_index_num;[range_lookup])</t>
  </si>
  <si>
    <t>=hlookup(lookup_value;table_array;row_index_num;[range_lookup])</t>
  </si>
  <si>
    <t>IF Majemuk</t>
  </si>
  <si>
    <t>Isi Bonus Khusus dengan fungsi baca tabel dan ketentuan:</t>
  </si>
  <si>
    <t>NAMA BRG</t>
  </si>
  <si>
    <t>BONUS</t>
  </si>
  <si>
    <t>Cover Comp</t>
  </si>
  <si>
    <t>VCD</t>
  </si>
  <si>
    <t>Speaker Active</t>
  </si>
  <si>
    <t>Keterangan Lulus Jika: kehadiran &gt;=5; Nilai &gt;=2</t>
  </si>
  <si>
    <t>PROGRAM STUDI</t>
  </si>
  <si>
    <t>MNJ</t>
  </si>
  <si>
    <t>MANAJEMEN</t>
  </si>
  <si>
    <t>AKT</t>
  </si>
  <si>
    <t>AKUNTANSI</t>
  </si>
  <si>
    <t>ISP</t>
  </si>
  <si>
    <t>ILMU EKONOMI DAN STUDI PEMBANGUNAN</t>
  </si>
  <si>
    <t>D-3</t>
  </si>
  <si>
    <t>D-3 KEUANGAN DAN PERBANKAN</t>
  </si>
  <si>
    <t>KODE KELAS</t>
  </si>
  <si>
    <t>JUML.MAHASISWA (TEXT)</t>
  </si>
  <si>
    <t>JUML.MAHASISWA (NUMBER)</t>
  </si>
  <si>
    <t>KELAS</t>
  </si>
  <si>
    <t>KELAS LENGKAP</t>
  </si>
  <si>
    <t>RUANG KELAS</t>
  </si>
  <si>
    <t>MNJ/53/A</t>
  </si>
  <si>
    <t>AKT/23/C</t>
  </si>
  <si>
    <t>MNJ/40/B</t>
  </si>
  <si>
    <t>ISP/45/A</t>
  </si>
  <si>
    <t>D-3/26/A</t>
  </si>
  <si>
    <t>MNJ/17/C</t>
  </si>
  <si>
    <t>AKT/43/B</t>
  </si>
  <si>
    <t>AKT/09/A</t>
  </si>
  <si>
    <t>Kelas</t>
  </si>
  <si>
    <t>Waktu</t>
  </si>
  <si>
    <t>Jumlah Peserta</t>
  </si>
  <si>
    <t>Laki-laki</t>
  </si>
  <si>
    <t>Perempuan</t>
  </si>
  <si>
    <t>A1</t>
  </si>
  <si>
    <t>Senin, 07.00 - 09.00</t>
  </si>
  <si>
    <t>A2</t>
  </si>
  <si>
    <t>Selasa, 11.00 - 13.00</t>
  </si>
  <si>
    <t>B1</t>
  </si>
  <si>
    <t>Senin, 09.00 - 11.00</t>
  </si>
  <si>
    <t>B2</t>
  </si>
  <si>
    <t>Rabu, 07.00 - 09.00</t>
  </si>
  <si>
    <t>C1</t>
  </si>
  <si>
    <t>Rabu, 09.00 - 11.00</t>
  </si>
  <si>
    <t>LATIHAN INSERT CHART</t>
  </si>
  <si>
    <t xml:space="preserve">    Baris atau Kolom yang akan Dikunci</t>
  </si>
  <si>
    <r>
      <t xml:space="preserve">*  Sebuah Alamat Cell, jika dikopikan ke </t>
    </r>
    <r>
      <rPr>
        <b/>
        <sz val="14"/>
        <color rgb="FFFF0000"/>
        <rFont val="Calibri"/>
        <family val="2"/>
        <scheme val="minor"/>
      </rPr>
      <t>BAWAH</t>
    </r>
    <r>
      <rPr>
        <b/>
        <sz val="14"/>
        <color theme="1"/>
        <rFont val="Calibri"/>
        <family val="2"/>
        <scheme val="minor"/>
      </rPr>
      <t xml:space="preserve"> atau ke </t>
    </r>
    <r>
      <rPr>
        <b/>
        <sz val="14"/>
        <color rgb="FFFF0000"/>
        <rFont val="Calibri"/>
        <family val="2"/>
        <scheme val="minor"/>
      </rPr>
      <t>ATAS,</t>
    </r>
    <r>
      <rPr>
        <b/>
        <sz val="14"/>
        <color theme="1"/>
        <rFont val="Calibri"/>
        <family val="2"/>
        <scheme val="minor"/>
      </rPr>
      <t xml:space="preserve"> maka akan menambah atau mengurangi nomor </t>
    </r>
    <r>
      <rPr>
        <b/>
        <sz val="14"/>
        <color rgb="FFFF0000"/>
        <rFont val="Calibri"/>
        <family val="2"/>
        <scheme val="minor"/>
      </rPr>
      <t>BARIS</t>
    </r>
  </si>
  <si>
    <r>
      <t xml:space="preserve">*  Sebuah Alamat Cell, jika dikopikan ke </t>
    </r>
    <r>
      <rPr>
        <b/>
        <sz val="14"/>
        <color rgb="FFFF0000"/>
        <rFont val="Calibri"/>
        <family val="2"/>
        <scheme val="minor"/>
      </rPr>
      <t>KANAN</t>
    </r>
    <r>
      <rPr>
        <b/>
        <sz val="14"/>
        <color theme="1"/>
        <rFont val="Calibri"/>
        <family val="2"/>
        <scheme val="minor"/>
      </rPr>
      <t xml:space="preserve"> atau ke </t>
    </r>
    <r>
      <rPr>
        <b/>
        <sz val="14"/>
        <color rgb="FFFF0000"/>
        <rFont val="Calibri"/>
        <family val="2"/>
        <scheme val="minor"/>
      </rPr>
      <t>KIRI</t>
    </r>
    <r>
      <rPr>
        <b/>
        <sz val="14"/>
        <color theme="1"/>
        <rFont val="Calibri"/>
        <family val="2"/>
        <scheme val="minor"/>
      </rPr>
      <t>, maka akan menambah atau mengurangi nomor KOLOM</t>
    </r>
  </si>
  <si>
    <r>
      <t xml:space="preserve">*  Sehingga apabila menginginkan sebuah alamat cell </t>
    </r>
    <r>
      <rPr>
        <b/>
        <sz val="14"/>
        <color rgb="FFFF0000"/>
        <rFont val="Calibri"/>
        <family val="2"/>
        <scheme val="minor"/>
      </rPr>
      <t>TETAP</t>
    </r>
    <r>
      <rPr>
        <b/>
        <sz val="14"/>
        <color theme="1"/>
        <rFont val="Calibri"/>
        <family val="2"/>
        <scheme val="minor"/>
      </rPr>
      <t xml:space="preserve"> (tidak berubah), maka harus di-</t>
    </r>
    <r>
      <rPr>
        <b/>
        <sz val="14"/>
        <color rgb="FFFF0000"/>
        <rFont val="Calibri"/>
        <family val="2"/>
        <scheme val="minor"/>
      </rPr>
      <t>KUNCI</t>
    </r>
    <r>
      <rPr>
        <b/>
        <sz val="14"/>
        <color theme="1"/>
        <rFont val="Calibri"/>
        <family val="2"/>
        <scheme val="minor"/>
      </rPr>
      <t xml:space="preserve"> atau diabsolutkan</t>
    </r>
  </si>
  <si>
    <r>
      <t xml:space="preserve">*  Ada dua jenis Kunci, yakni Kunci </t>
    </r>
    <r>
      <rPr>
        <b/>
        <sz val="14"/>
        <color rgb="FFFF0000"/>
        <rFont val="Calibri"/>
        <family val="2"/>
        <scheme val="minor"/>
      </rPr>
      <t>KOLOM</t>
    </r>
    <r>
      <rPr>
        <b/>
        <sz val="14"/>
        <color theme="1"/>
        <rFont val="Calibri"/>
        <family val="2"/>
        <scheme val="minor"/>
      </rPr>
      <t xml:space="preserve"> (</t>
    </r>
    <r>
      <rPr>
        <b/>
        <sz val="14"/>
        <color rgb="FFFF0000"/>
        <rFont val="Calibri"/>
        <family val="2"/>
        <scheme val="minor"/>
      </rPr>
      <t>$L12</t>
    </r>
    <r>
      <rPr>
        <b/>
        <sz val="14"/>
        <color theme="1"/>
        <rFont val="Calibri"/>
        <family val="2"/>
        <scheme val="minor"/>
      </rPr>
      <t xml:space="preserve">) atau Kunci </t>
    </r>
    <r>
      <rPr>
        <b/>
        <sz val="14"/>
        <color rgb="FFFF0000"/>
        <rFont val="Calibri"/>
        <family val="2"/>
        <scheme val="minor"/>
      </rPr>
      <t>BARIS</t>
    </r>
    <r>
      <rPr>
        <b/>
        <sz val="14"/>
        <color theme="1"/>
        <rFont val="Calibri"/>
        <family val="2"/>
        <scheme val="minor"/>
      </rPr>
      <t xml:space="preserve"> (</t>
    </r>
    <r>
      <rPr>
        <b/>
        <sz val="14"/>
        <color rgb="FFFF0000"/>
        <rFont val="Calibri"/>
        <family val="2"/>
        <scheme val="minor"/>
      </rPr>
      <t>L$12</t>
    </r>
    <r>
      <rPr>
        <b/>
        <sz val="14"/>
        <color theme="1"/>
        <rFont val="Calibri"/>
        <family val="2"/>
        <scheme val="minor"/>
      </rPr>
      <t xml:space="preserve">), atau Kunci </t>
    </r>
    <r>
      <rPr>
        <b/>
        <sz val="14"/>
        <color rgb="FFFF0000"/>
        <rFont val="Calibri"/>
        <family val="2"/>
        <scheme val="minor"/>
      </rPr>
      <t>KOLOM</t>
    </r>
    <r>
      <rPr>
        <b/>
        <sz val="14"/>
        <color theme="1"/>
        <rFont val="Calibri"/>
        <family val="2"/>
        <scheme val="minor"/>
      </rPr>
      <t xml:space="preserve"> dan </t>
    </r>
    <r>
      <rPr>
        <b/>
        <sz val="14"/>
        <color rgb="FFFF0000"/>
        <rFont val="Calibri"/>
        <family val="2"/>
        <scheme val="minor"/>
      </rPr>
      <t>BARIS</t>
    </r>
    <r>
      <rPr>
        <b/>
        <sz val="14"/>
        <color theme="1"/>
        <rFont val="Calibri"/>
        <family val="2"/>
        <scheme val="minor"/>
      </rPr>
      <t xml:space="preserve"> (</t>
    </r>
    <r>
      <rPr>
        <b/>
        <sz val="14"/>
        <color rgb="FFFF0000"/>
        <rFont val="Calibri"/>
        <family val="2"/>
        <scheme val="minor"/>
      </rPr>
      <t>$L$12</t>
    </r>
    <r>
      <rPr>
        <b/>
        <sz val="14"/>
        <color theme="1"/>
        <rFont val="Calibri"/>
        <family val="2"/>
        <scheme val="minor"/>
      </rPr>
      <t>)</t>
    </r>
  </si>
  <si>
    <r>
      <t>*  Untuk mengunci alamat cell dapat menuliskan secara manual tanda "</t>
    </r>
    <r>
      <rPr>
        <b/>
        <sz val="14"/>
        <color rgb="FFFF0000"/>
        <rFont val="Calibri"/>
        <family val="2"/>
        <scheme val="minor"/>
      </rPr>
      <t>$</t>
    </r>
    <r>
      <rPr>
        <b/>
        <sz val="14"/>
        <color theme="1"/>
        <rFont val="Calibri"/>
        <family val="2"/>
        <scheme val="minor"/>
      </rPr>
      <t>" atau menggunakan tombol "</t>
    </r>
    <r>
      <rPr>
        <b/>
        <sz val="14"/>
        <color rgb="FFFF0000"/>
        <rFont val="Calibri"/>
        <family val="2"/>
        <scheme val="minor"/>
      </rPr>
      <t>F4</t>
    </r>
    <r>
      <rPr>
        <b/>
        <sz val="14"/>
        <color theme="1"/>
        <rFont val="Calibri"/>
        <family val="2"/>
        <scheme val="minor"/>
      </rPr>
      <t xml:space="preserve">", di depan </t>
    </r>
  </si>
  <si>
    <t>*  Fungsi string adalah fungsi untuk mengambil satu atau beberapa karakter</t>
  </si>
  <si>
    <t>*  Ada tiga buah fungsi string:</t>
  </si>
  <si>
    <r>
      <t xml:space="preserve">    -  Fungsi </t>
    </r>
    <r>
      <rPr>
        <b/>
        <sz val="14"/>
        <color rgb="FFFF0000"/>
        <rFont val="Calibri"/>
        <family val="2"/>
        <scheme val="minor"/>
      </rPr>
      <t>LEFT</t>
    </r>
    <r>
      <rPr>
        <b/>
        <sz val="14"/>
        <color theme="1"/>
        <rFont val="Calibri"/>
        <family val="2"/>
        <scheme val="minor"/>
      </rPr>
      <t xml:space="preserve">: Digunakan untuk mengambil karakter urut dari </t>
    </r>
    <r>
      <rPr>
        <b/>
        <sz val="14"/>
        <color rgb="FFFF0000"/>
        <rFont val="Calibri"/>
        <family val="2"/>
        <scheme val="minor"/>
      </rPr>
      <t>KIRI</t>
    </r>
  </si>
  <si>
    <r>
      <t xml:space="preserve">    -  Fungsi </t>
    </r>
    <r>
      <rPr>
        <b/>
        <sz val="14"/>
        <color rgb="FFFF0000"/>
        <rFont val="Calibri"/>
        <family val="2"/>
        <scheme val="minor"/>
      </rPr>
      <t>MID</t>
    </r>
    <r>
      <rPr>
        <b/>
        <sz val="14"/>
        <color theme="1"/>
        <rFont val="Calibri"/>
        <family val="2"/>
        <scheme val="minor"/>
      </rPr>
      <t>: Digunakan untuk mengambil karakter yang berada di-</t>
    </r>
    <r>
      <rPr>
        <b/>
        <sz val="14"/>
        <color rgb="FFFF0000"/>
        <rFont val="Calibri"/>
        <family val="2"/>
        <scheme val="minor"/>
      </rPr>
      <t>TENGAH-TENGAH</t>
    </r>
  </si>
  <si>
    <r>
      <t xml:space="preserve">    -  Fungsi </t>
    </r>
    <r>
      <rPr>
        <b/>
        <sz val="14"/>
        <color rgb="FFFF0000"/>
        <rFont val="Calibri"/>
        <family val="2"/>
        <scheme val="minor"/>
      </rPr>
      <t>RIGHT</t>
    </r>
    <r>
      <rPr>
        <b/>
        <sz val="14"/>
        <color theme="1"/>
        <rFont val="Calibri"/>
        <family val="2"/>
        <scheme val="minor"/>
      </rPr>
      <t xml:space="preserve">: Digunakan untuk mengambil karakter urut dari </t>
    </r>
    <r>
      <rPr>
        <b/>
        <sz val="14"/>
        <color rgb="FFFF0000"/>
        <rFont val="Calibri"/>
        <family val="2"/>
        <scheme val="minor"/>
      </rPr>
      <t>KANAN</t>
    </r>
  </si>
  <si>
    <r>
      <t xml:space="preserve">*  Fungsi </t>
    </r>
    <r>
      <rPr>
        <b/>
        <sz val="14"/>
        <color rgb="FFFF0000"/>
        <rFont val="Calibri"/>
        <family val="2"/>
        <scheme val="minor"/>
      </rPr>
      <t>LEN</t>
    </r>
    <r>
      <rPr>
        <b/>
        <sz val="14"/>
        <color theme="1"/>
        <rFont val="Calibri"/>
        <family val="2"/>
        <scheme val="minor"/>
      </rPr>
      <t xml:space="preserve"> digunakan untuk menghitung jumlah karakter</t>
    </r>
  </si>
  <si>
    <r>
      <t xml:space="preserve">3. </t>
    </r>
    <r>
      <rPr>
        <b/>
        <sz val="10"/>
        <rFont val="Arial"/>
        <family val="2"/>
      </rPr>
      <t xml:space="preserve">(MID) </t>
    </r>
    <r>
      <rPr>
        <sz val="10"/>
        <rFont val="Arial"/>
        <family val="2"/>
      </rPr>
      <t>Pilihlah 3 huruf ditengah dimulai huruf ke 2 dari kiri</t>
    </r>
  </si>
  <si>
    <r>
      <t xml:space="preserve">4. </t>
    </r>
    <r>
      <rPr>
        <b/>
        <sz val="10"/>
        <rFont val="Arial"/>
        <family val="2"/>
      </rPr>
      <t xml:space="preserve">(LEN) </t>
    </r>
    <r>
      <rPr>
        <sz val="10"/>
        <rFont val="Arial"/>
        <family val="2"/>
      </rPr>
      <t>Hitung jumlah karakter nama tersebut.</t>
    </r>
  </si>
  <si>
    <t>Ria Ernanda</t>
  </si>
  <si>
    <t>Fadli Nafureza</t>
  </si>
  <si>
    <t>Nur Arya Prabowo</t>
  </si>
  <si>
    <t>Brahim Mukti</t>
  </si>
  <si>
    <t>Angga Panca Putra</t>
  </si>
  <si>
    <t>Rengga Ade</t>
  </si>
  <si>
    <t>Maviro Teguh</t>
  </si>
  <si>
    <t>Faizal Ramadhan</t>
  </si>
  <si>
    <t>M Rudi Eko Widodo</t>
  </si>
  <si>
    <t>Ridwan Kurnia Shaleh</t>
  </si>
  <si>
    <r>
      <t xml:space="preserve">3. </t>
    </r>
    <r>
      <rPr>
        <b/>
        <sz val="10"/>
        <rFont val="Arial"/>
        <family val="2"/>
      </rPr>
      <t xml:space="preserve">(MID) </t>
    </r>
    <r>
      <rPr>
        <sz val="11"/>
        <color theme="1"/>
        <rFont val="Calibri"/>
        <family val="2"/>
        <scheme val="minor"/>
      </rPr>
      <t>Pilihlah 3 huruf ditengah dimulai huruf ke 2 dari kiri</t>
    </r>
  </si>
  <si>
    <t>MO-1007-2</t>
  </si>
  <si>
    <t>MO</t>
  </si>
  <si>
    <t>-</t>
  </si>
  <si>
    <t>PER APRIL 2013</t>
  </si>
  <si>
    <t>BONUS KHUSUS</t>
  </si>
  <si>
    <t>Jika transaksi pembelian dilakukan sebelum tanggal 10 April 2013, maka mendapatkan bonus sesuai tabel</t>
  </si>
  <si>
    <t>Jika transaksi pembelian dilakukan setelah tanggal 10 April 2013, maka mendapatkan "CD BLANK"</t>
  </si>
  <si>
    <t>1. Isi kolom program studi dengan menmgambil 3 karakter sebelah kiri dari kode kelas kemudian sesuaikan dengan tabel acuan di atas</t>
  </si>
  <si>
    <t>3. Isi kolom jumlah mahasiswa (number) dengan mengubah jumlah mahasiswa (text) di kolom sebelah kirinya menjadi bentuk angka. Pergunakan rumus "VALUE"</t>
  </si>
  <si>
    <t>2. Isi kolom Jumlah Mahasiswa (text) dengan mengambil karakter di tengah (angka)</t>
  </si>
  <si>
    <t>4. Isi kolom kelas dengan mengambil karakter paling kanan dari kode kelas (1 huruf)</t>
  </si>
  <si>
    <t>5. Isi kolom kelas lengkap dengan menggabungkan isi kolom program studi dengan kelas (disertai tanda pemisah). Pergunakan rumus "CONCATENATE"</t>
  </si>
  <si>
    <t>6. Isi kolom ruang kelas dengan menggabungkan teks "Ruang Praktikum" dan isi dari kolom kelas</t>
  </si>
  <si>
    <t>TOKO BUKU "INFOTAINMENT"</t>
  </si>
  <si>
    <t>DAFTAR HARGA BUKU</t>
  </si>
  <si>
    <t>NO.</t>
  </si>
  <si>
    <t>PENERBIT</t>
  </si>
  <si>
    <t xml:space="preserve">TAHUN </t>
  </si>
  <si>
    <t>JENIS BUKU</t>
  </si>
  <si>
    <t>HARGA ASAL</t>
  </si>
  <si>
    <t>DISKON</t>
  </si>
  <si>
    <t>HARGA BARU</t>
  </si>
  <si>
    <t>AL011987B</t>
  </si>
  <si>
    <t>EL051980C</t>
  </si>
  <si>
    <t>BA032004D</t>
  </si>
  <si>
    <t>AL012005B</t>
  </si>
  <si>
    <t>BP091997G</t>
  </si>
  <si>
    <t>EL052002C</t>
  </si>
  <si>
    <t>GM081989H</t>
  </si>
  <si>
    <t>AL011988B</t>
  </si>
  <si>
    <t>GA042005F</t>
  </si>
  <si>
    <t>AL011992J</t>
  </si>
  <si>
    <t>SE061986B</t>
  </si>
  <si>
    <t>MI051998C</t>
  </si>
  <si>
    <t>AO021999J</t>
  </si>
  <si>
    <t>EL051994I</t>
  </si>
  <si>
    <t xml:space="preserve">KODE </t>
  </si>
  <si>
    <t>AL</t>
  </si>
  <si>
    <t>Airlangga</t>
  </si>
  <si>
    <t>01</t>
  </si>
  <si>
    <t>POLITIK</t>
  </si>
  <si>
    <t>AO</t>
  </si>
  <si>
    <t>Andi Offset</t>
  </si>
  <si>
    <t>02</t>
  </si>
  <si>
    <t>EKONOMI</t>
  </si>
  <si>
    <t>BA</t>
  </si>
  <si>
    <t>Binarupa Aksara</t>
  </si>
  <si>
    <t>03</t>
  </si>
  <si>
    <t>SOSIAL</t>
  </si>
  <si>
    <t>BP</t>
  </si>
  <si>
    <t>Balai Pustaka</t>
  </si>
  <si>
    <t>04</t>
  </si>
  <si>
    <t>BUDAYA</t>
  </si>
  <si>
    <t>EL</t>
  </si>
  <si>
    <t>Elexmedia</t>
  </si>
  <si>
    <t>E</t>
  </si>
  <si>
    <t>05</t>
  </si>
  <si>
    <t>HUKUM</t>
  </si>
  <si>
    <t>GA</t>
  </si>
  <si>
    <t>Gunung Agung</t>
  </si>
  <si>
    <t>F</t>
  </si>
  <si>
    <t>06</t>
  </si>
  <si>
    <t>AGAMA</t>
  </si>
  <si>
    <t>GM</t>
  </si>
  <si>
    <t>Griya Media</t>
  </si>
  <si>
    <t>G</t>
  </si>
  <si>
    <t>07</t>
  </si>
  <si>
    <t>MUSIK</t>
  </si>
  <si>
    <t>GR</t>
  </si>
  <si>
    <t>Gramedia</t>
  </si>
  <si>
    <t>H</t>
  </si>
  <si>
    <t>08</t>
  </si>
  <si>
    <t>OLAH RAGA</t>
  </si>
  <si>
    <t>MI</t>
  </si>
  <si>
    <t>Mizan</t>
  </si>
  <si>
    <t>09</t>
  </si>
  <si>
    <t>SEJARAH</t>
  </si>
  <si>
    <t>SE</t>
  </si>
  <si>
    <t>Salemba Empat</t>
  </si>
  <si>
    <t>J</t>
  </si>
  <si>
    <t>10</t>
  </si>
  <si>
    <t>TEKNIK</t>
  </si>
  <si>
    <t>11</t>
  </si>
  <si>
    <t>BAHASA</t>
  </si>
  <si>
    <t>Petunjuk :</t>
  </si>
  <si>
    <t>Kode terdiri dari 7 digit</t>
  </si>
  <si>
    <t>Digit 1,2 merupakan kode "PENERBIT"</t>
  </si>
  <si>
    <t>Digit 3,4 merupakan kode "JENIS BUKU"</t>
  </si>
  <si>
    <t>Digit 5-8 merupakan kode "TAHUN"</t>
  </si>
  <si>
    <t>Digit 9 merupakan kode "HARGA"</t>
  </si>
  <si>
    <t xml:space="preserve">Harga asal </t>
  </si>
  <si>
    <t>= sesuai dengan data tabel</t>
  </si>
  <si>
    <t>Diskon diberikan untuk pembelian buku :</t>
  </si>
  <si>
    <t>Airlangga = 10%</t>
  </si>
  <si>
    <t>Gunung Agung = 15%</t>
  </si>
  <si>
    <t>Balai Pustaka = 20%</t>
  </si>
  <si>
    <t>Harga baru</t>
  </si>
  <si>
    <t>= harga asal dikurangi diskon</t>
  </si>
  <si>
    <t xml:space="preserve">PEMBIAYAAN "INFOTAINMENT" </t>
  </si>
  <si>
    <t>KREDIT SEPEDA MOTOR</t>
  </si>
  <si>
    <t>TENOR</t>
  </si>
  <si>
    <t xml:space="preserve">MEREK </t>
  </si>
  <si>
    <t>HARGA CASH</t>
  </si>
  <si>
    <t>KREDIT (ANGSURAN PER BULAN)</t>
  </si>
  <si>
    <t>HARGA KREDIT</t>
  </si>
  <si>
    <t>NASABAH</t>
  </si>
  <si>
    <t>(BULAN)</t>
  </si>
  <si>
    <t>SEPEDA MOTOR</t>
  </si>
  <si>
    <t>ANG. POKOK</t>
  </si>
  <si>
    <t>ANG. BUNGA</t>
  </si>
  <si>
    <t>ANG. TOTAL</t>
  </si>
  <si>
    <t>Mulan Jamela</t>
  </si>
  <si>
    <t>SM1001</t>
  </si>
  <si>
    <t>HSF</t>
  </si>
  <si>
    <t>Ayu Azhari</t>
  </si>
  <si>
    <t>SM1002</t>
  </si>
  <si>
    <t>SSG</t>
  </si>
  <si>
    <t>Asmirandah</t>
  </si>
  <si>
    <t>SM1003</t>
  </si>
  <si>
    <t>YJZ</t>
  </si>
  <si>
    <t>Desi Ratnasari</t>
  </si>
  <si>
    <t>SM1004</t>
  </si>
  <si>
    <t>YNO</t>
  </si>
  <si>
    <t>Maia Estianti</t>
  </si>
  <si>
    <t>SM1005</t>
  </si>
  <si>
    <t>Titi Dwi Jayanti</t>
  </si>
  <si>
    <t>SM1006</t>
  </si>
  <si>
    <t>HBT</t>
  </si>
  <si>
    <t>Julia Perez</t>
  </si>
  <si>
    <t>SM1007</t>
  </si>
  <si>
    <t>SST</t>
  </si>
  <si>
    <t>Puput Melati</t>
  </si>
  <si>
    <t>SM1008</t>
  </si>
  <si>
    <t>Dewi Persik</t>
  </si>
  <si>
    <t>SM1009</t>
  </si>
  <si>
    <t>YMI</t>
  </si>
  <si>
    <t>Agnez Monica</t>
  </si>
  <si>
    <t>SM1010</t>
  </si>
  <si>
    <t>SSM</t>
  </si>
  <si>
    <t>Indi Barends</t>
  </si>
  <si>
    <t>SM1011</t>
  </si>
  <si>
    <t>Paramitha Rusadi</t>
  </si>
  <si>
    <t>SM1012</t>
  </si>
  <si>
    <t xml:space="preserve"> MEREK </t>
  </si>
  <si>
    <t>ANGSURAN BULANAN</t>
  </si>
  <si>
    <t>Bunga Per Tahun</t>
  </si>
  <si>
    <t>Beat</t>
  </si>
  <si>
    <t>Supra Fit</t>
  </si>
  <si>
    <t>Shogun</t>
  </si>
  <si>
    <t>Merk sepeda motor</t>
  </si>
  <si>
    <t>Smash</t>
  </si>
  <si>
    <t>Harga</t>
  </si>
  <si>
    <t>Satria</t>
  </si>
  <si>
    <t>Angsuran pokok</t>
  </si>
  <si>
    <t>= harga dibagi tenor (jangka waktu)</t>
  </si>
  <si>
    <t>Jupiter Z</t>
  </si>
  <si>
    <t>Angsuran bunga</t>
  </si>
  <si>
    <t>= bunga per bulan dikali harga cash</t>
  </si>
  <si>
    <t>Mio</t>
  </si>
  <si>
    <t>Angsuran total</t>
  </si>
  <si>
    <t>= angsuran pokok ditambah angsuran bunga</t>
  </si>
  <si>
    <t>Nouvo</t>
  </si>
  <si>
    <t>Harga Kredit</t>
  </si>
  <si>
    <t>= angsuran total perbulan dikali tenor (jangka waktu)</t>
  </si>
  <si>
    <t>AGEN TIKET "INFOTAINMENT"</t>
  </si>
  <si>
    <t>LAPORAN PENJUALAN TIKET BUS</t>
  </si>
  <si>
    <t>NAMA BUS</t>
  </si>
  <si>
    <t>JURUSAN</t>
  </si>
  <si>
    <t>TARIF</t>
  </si>
  <si>
    <t>DASAR</t>
  </si>
  <si>
    <t>TAMBAHAN</t>
  </si>
  <si>
    <t>TIKET</t>
  </si>
  <si>
    <t>KU-SE01</t>
  </si>
  <si>
    <t>KU-SE03</t>
  </si>
  <si>
    <t>SN-BS02</t>
  </si>
  <si>
    <t>GO-EK02</t>
  </si>
  <si>
    <t>SH-SE01</t>
  </si>
  <si>
    <t>SJ-EX03</t>
  </si>
  <si>
    <t>SN-EX02</t>
  </si>
  <si>
    <t>GO-EK01</t>
  </si>
  <si>
    <t>SH-SE03</t>
  </si>
  <si>
    <t>GO</t>
  </si>
  <si>
    <t>Goodwil</t>
  </si>
  <si>
    <t>Jakarta-Cirebon</t>
  </si>
  <si>
    <t>BS</t>
  </si>
  <si>
    <t>Bisnis</t>
  </si>
  <si>
    <t>KU</t>
  </si>
  <si>
    <t>Kurnia Jaya</t>
  </si>
  <si>
    <t>Jakarta-Denpasar</t>
  </si>
  <si>
    <t>EK</t>
  </si>
  <si>
    <t>Ekonomi</t>
  </si>
  <si>
    <t>SH</t>
  </si>
  <si>
    <t>Sahabat</t>
  </si>
  <si>
    <t>Jakarta-Kuningan</t>
  </si>
  <si>
    <t>EX</t>
  </si>
  <si>
    <t>Eksekutif</t>
  </si>
  <si>
    <t>SJ</t>
  </si>
  <si>
    <t>Sami Jaya</t>
  </si>
  <si>
    <t>Jakarta-Surabaya</t>
  </si>
  <si>
    <t>Super Eksekutif</t>
  </si>
  <si>
    <t>SN</t>
  </si>
  <si>
    <t>Setia Negara</t>
  </si>
  <si>
    <t>Jakarta-Semarang</t>
  </si>
  <si>
    <t>Nama bus</t>
  </si>
  <si>
    <t>Jurusan</t>
  </si>
  <si>
    <t>Tarif dasar</t>
  </si>
  <si>
    <t xml:space="preserve">Tarif tambahan </t>
  </si>
  <si>
    <t>= prosentase tarif tambahan dikali tarif dasar</t>
  </si>
  <si>
    <t>Harga tiket</t>
  </si>
  <si>
    <t>= tarif dasar ditambah tarif tambahan</t>
  </si>
  <si>
    <t>RENTAL JAYA ABADI</t>
  </si>
  <si>
    <t xml:space="preserve">LIMIT </t>
  </si>
  <si>
    <t xml:space="preserve">TANGGAL </t>
  </si>
  <si>
    <t>MASA</t>
  </si>
  <si>
    <t>BIAYA</t>
  </si>
  <si>
    <t>SEWA</t>
  </si>
  <si>
    <t>KEMBALI</t>
  </si>
  <si>
    <t>DENDA</t>
  </si>
  <si>
    <t>CF123</t>
  </si>
  <si>
    <t>DF123</t>
  </si>
  <si>
    <t>CP345</t>
  </si>
  <si>
    <t>DP400</t>
  </si>
  <si>
    <t>CF122</t>
  </si>
  <si>
    <t>CF230</t>
  </si>
  <si>
    <t>DP330</t>
  </si>
  <si>
    <t>DF222</t>
  </si>
  <si>
    <t>DF300</t>
  </si>
  <si>
    <t>CP125</t>
  </si>
  <si>
    <t>JENIS</t>
  </si>
  <si>
    <t xml:space="preserve">Limit sewa </t>
  </si>
  <si>
    <t xml:space="preserve">= limit 3 hari untuk peminjaman 4 buah keatas CD/DVD </t>
  </si>
  <si>
    <t>CF</t>
  </si>
  <si>
    <t>CD FILM</t>
  </si>
  <si>
    <t xml:space="preserve">= limit 2 hari untuk peminjaman 3 buah CD/DVD </t>
  </si>
  <si>
    <t>CP</t>
  </si>
  <si>
    <t>CD PROGRAM</t>
  </si>
  <si>
    <t xml:space="preserve">= limit 1 hari untuk peminjaman 2 buah kebawah CD/DVD </t>
  </si>
  <si>
    <t>DF</t>
  </si>
  <si>
    <t>DVD FILM</t>
  </si>
  <si>
    <t>Masa sewa</t>
  </si>
  <si>
    <t>= tanggal kembali dikurangi tanggal sewa</t>
  </si>
  <si>
    <t>DP</t>
  </si>
  <si>
    <t>DVD PROGRAM</t>
  </si>
  <si>
    <t>Status denda</t>
  </si>
  <si>
    <t>= jika masa sewa melebihi limit sewa maka dikenakan denda</t>
  </si>
  <si>
    <t>= jika masa sewa tidak melebihi limit sewa maka tidak dikenakan denda</t>
  </si>
  <si>
    <t>Biaya sewa</t>
  </si>
  <si>
    <t>= sesuai dengan data tabel dikali jumlah</t>
  </si>
  <si>
    <t>Biaya denda</t>
  </si>
  <si>
    <t>= sesuai dengan data tabel dikali jumlah dikali kelebihan hari</t>
  </si>
  <si>
    <t>Biaya total</t>
  </si>
  <si>
    <t>= biaya sewa ditambah biaya denda</t>
  </si>
  <si>
    <t>LEMBAGA PENDIDIKAN VIRGO</t>
  </si>
  <si>
    <t>LAPORAN PENDAFTARAN SISWA</t>
  </si>
  <si>
    <t>NO.INDUK</t>
  </si>
  <si>
    <t>NAMA PESERTA</t>
  </si>
  <si>
    <t>NAMA KELAS</t>
  </si>
  <si>
    <t>PEKERJAAN</t>
  </si>
  <si>
    <t>HARI</t>
  </si>
  <si>
    <t>JML. BIAYA</t>
  </si>
  <si>
    <t>KURSUS</t>
  </si>
  <si>
    <t>Agus Djamal</t>
  </si>
  <si>
    <t>CI-1016-1</t>
  </si>
  <si>
    <t>Amir Santoso</t>
  </si>
  <si>
    <t>YP-1005-4</t>
  </si>
  <si>
    <t>Ananto Wibowo</t>
  </si>
  <si>
    <t>SP-1013-2</t>
  </si>
  <si>
    <t>Arief Nugroho</t>
  </si>
  <si>
    <t>MO-1018-2</t>
  </si>
  <si>
    <t>Chaerita</t>
  </si>
  <si>
    <t>MO-1003-4</t>
  </si>
  <si>
    <t>Edwin Hutagalung</t>
  </si>
  <si>
    <t>CI-1010-1</t>
  </si>
  <si>
    <t>Elza Riana</t>
  </si>
  <si>
    <t>MO-1012-3</t>
  </si>
  <si>
    <t>Hartanto</t>
  </si>
  <si>
    <t>GD-1008-3</t>
  </si>
  <si>
    <t>Johan Jawara</t>
  </si>
  <si>
    <t>GD-1014-2</t>
  </si>
  <si>
    <t>Joko Indaryono</t>
  </si>
  <si>
    <t>GD-1017-4</t>
  </si>
  <si>
    <t>Kemal Alamsyah</t>
  </si>
  <si>
    <t>MO-1009-2</t>
  </si>
  <si>
    <t>Novelina</t>
  </si>
  <si>
    <t>SP-1015-1</t>
  </si>
  <si>
    <t>Rafael</t>
  </si>
  <si>
    <t>SP-1004-3</t>
  </si>
  <si>
    <t>Ridwan Siagian</t>
  </si>
  <si>
    <t>CI-1019-4</t>
  </si>
  <si>
    <t>Sri Nurul Islami</t>
  </si>
  <si>
    <t>T O T A L</t>
  </si>
  <si>
    <t>JADWAL</t>
  </si>
  <si>
    <t>1</t>
  </si>
  <si>
    <t>2</t>
  </si>
  <si>
    <t>3</t>
  </si>
  <si>
    <t>4</t>
  </si>
  <si>
    <t>Pelajar</t>
  </si>
  <si>
    <t>Wiraswasta</t>
  </si>
  <si>
    <t>Swasta</t>
  </si>
  <si>
    <t>PNS</t>
  </si>
  <si>
    <t>CI</t>
  </si>
  <si>
    <t>Computer Introduction</t>
  </si>
  <si>
    <t>Senin-Selasa</t>
  </si>
  <si>
    <t>GD</t>
  </si>
  <si>
    <t>Graphic Design</t>
  </si>
  <si>
    <t>Senin-Rabu</t>
  </si>
  <si>
    <t>Microsoft Office</t>
  </si>
  <si>
    <t>Senin-Kamis</t>
  </si>
  <si>
    <t>SP</t>
  </si>
  <si>
    <t>Senior Programming</t>
  </si>
  <si>
    <t>Senin-Jumat</t>
  </si>
  <si>
    <t>YP</t>
  </si>
  <si>
    <t>Yunior Programming</t>
  </si>
  <si>
    <t>Senin-Sabtu</t>
  </si>
  <si>
    <t>Nama kelas</t>
  </si>
  <si>
    <t>= sesuai dengan data tabel (2 karakter awal kode kelas)</t>
  </si>
  <si>
    <t>Status</t>
  </si>
  <si>
    <t>= sesuai dengan data tabel (1 karakter akhir kode kelas)</t>
  </si>
  <si>
    <t>Pekerjaan</t>
  </si>
  <si>
    <t>Hari kursus</t>
  </si>
  <si>
    <t>Biaya</t>
  </si>
  <si>
    <t xml:space="preserve">Diskon </t>
  </si>
  <si>
    <t>= diskon 15% diberlakukan untuk siswa yang mengambil program Senior Programing atau siswa yang berstatus pelajar</t>
  </si>
  <si>
    <t>Jumlah biaya</t>
  </si>
  <si>
    <t>= biaya dikurangi diskon</t>
  </si>
  <si>
    <t>1. Buat Grafik total gaji yang diterima masing-masing golongan (model pie)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</si>
</sst>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Rp&quot;* #,##0_);_(&quot;Rp&quot;* \(#,##0\);_(&quot;Rp&quot;* &quot;-&quot;_);_(@_)"/>
    <numFmt numFmtId="165" formatCode="_(* #,##0_);_(* \(#,##0\);_(* &quot;-&quot;??_);_(@_)"/>
    <numFmt numFmtId="166" formatCode="_([$Rp-421]* #,##0_);_([$Rp-421]* \(#,##0\);_([$Rp-421]* &quot;-&quot;_);_(@_)"/>
    <numFmt numFmtId="167" formatCode="[$Rp-421]#,##0"/>
    <numFmt numFmtId="170" formatCode="0&quot; Bulan&quot;"/>
    <numFmt numFmtId="171" formatCode="[$-421]dd\ mmmm\ yyyy;@"/>
    <numFmt numFmtId="172" formatCode="[$Rp-421]#,##0.00"/>
    <numFmt numFmtId="174" formatCode="0.0%"/>
    <numFmt numFmtId="177" formatCode="_-[$Rp-421]* #,##0_-;\-[$Rp-421]* #,##0_-;_-[$Rp-421]* &quot;-&quot;_-;_-@_-"/>
    <numFmt numFmtId="178" formatCode="_-[$Rp-421]* #,##0.00_-;\-[$Rp-421]* #,##0.00_-;_-[$Rp-421]* &quot;-&quot;??_-;_-@_-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indexed="54"/>
      <name val="Arial"/>
      <family val="2"/>
    </font>
    <font>
      <b/>
      <u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i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0"/>
      <color indexed="62"/>
      <name val="Arial"/>
      <family val="2"/>
    </font>
    <font>
      <sz val="10"/>
      <color indexed="62"/>
      <name val="Arial"/>
      <family val="2"/>
    </font>
    <font>
      <b/>
      <sz val="10"/>
      <color indexed="60"/>
      <name val="Arial"/>
      <family val="2"/>
    </font>
    <font>
      <b/>
      <sz val="11"/>
      <color indexed="17"/>
      <name val="Arial"/>
      <family val="2"/>
    </font>
    <font>
      <b/>
      <sz val="9"/>
      <name val="Arial"/>
      <family val="2"/>
    </font>
    <font>
      <b/>
      <sz val="12"/>
      <name val="Copperplate Gothic Bold"/>
      <family val="2"/>
    </font>
    <font>
      <b/>
      <sz val="11"/>
      <name val="Copperplate Gothic Bold"/>
      <family val="2"/>
    </font>
    <font>
      <b/>
      <sz val="10"/>
      <color indexed="9"/>
      <name val="Arial"/>
      <family val="2"/>
    </font>
    <font>
      <b/>
      <sz val="9"/>
      <color indexed="9"/>
      <name val="Arial"/>
      <family val="2"/>
    </font>
    <font>
      <b/>
      <sz val="12"/>
      <color rgb="FFC00000"/>
      <name val="Arial"/>
      <family val="2"/>
    </font>
    <font>
      <sz val="12"/>
      <color theme="1"/>
      <name val="Calibri"/>
      <family val="2"/>
      <scheme val="minor"/>
    </font>
    <font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rgb="FFC00000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sz val="12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b/>
      <sz val="14"/>
      <color rgb="FFC00000"/>
      <name val="Arial"/>
      <family val="2"/>
    </font>
    <font>
      <b/>
      <sz val="16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name val="Arial"/>
      <family val="2"/>
    </font>
    <font>
      <b/>
      <sz val="2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0"/>
      <name val="Calibri"/>
      <family val="2"/>
      <scheme val="minor"/>
    </font>
    <font>
      <b/>
      <sz val="12"/>
      <color indexed="9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indexed="8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41" fontId="7" fillId="0" borderId="0" applyFont="0" applyFill="0" applyBorder="0" applyAlignment="0" applyProtection="0"/>
    <xf numFmtId="0" fontId="7" fillId="0" borderId="0"/>
    <xf numFmtId="41" fontId="7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3" fillId="0" borderId="0"/>
    <xf numFmtId="9" fontId="1" fillId="0" borderId="0" applyFont="0" applyFill="0" applyBorder="0" applyAlignment="0" applyProtection="0"/>
  </cellStyleXfs>
  <cellXfs count="333">
    <xf numFmtId="0" fontId="0" fillId="0" borderId="0" xfId="0"/>
    <xf numFmtId="0" fontId="0" fillId="4" borderId="0" xfId="0" applyFill="1"/>
    <xf numFmtId="0" fontId="3" fillId="4" borderId="0" xfId="0" applyFont="1" applyFill="1"/>
    <xf numFmtId="0" fontId="2" fillId="4" borderId="0" xfId="0" applyFont="1" applyFill="1"/>
    <xf numFmtId="0" fontId="6" fillId="4" borderId="0" xfId="0" applyFont="1" applyFill="1"/>
    <xf numFmtId="0" fontId="5" fillId="4" borderId="0" xfId="0" applyFont="1" applyFill="1"/>
    <xf numFmtId="0" fontId="9" fillId="8" borderId="1" xfId="5" applyFont="1" applyFill="1" applyBorder="1" applyAlignment="1">
      <alignment horizontal="center" vertical="center" wrapText="1"/>
    </xf>
    <xf numFmtId="0" fontId="13" fillId="3" borderId="7" xfId="6" applyFont="1" applyFill="1" applyBorder="1" applyAlignment="1">
      <alignment horizontal="center" vertical="center"/>
    </xf>
    <xf numFmtId="0" fontId="12" fillId="8" borderId="7" xfId="6" applyFont="1" applyFill="1" applyBorder="1" applyAlignment="1">
      <alignment horizontal="center" vertical="center"/>
    </xf>
    <xf numFmtId="0" fontId="13" fillId="8" borderId="7" xfId="6" applyFont="1" applyFill="1" applyBorder="1" applyAlignment="1">
      <alignment horizontal="center" vertical="center"/>
    </xf>
    <xf numFmtId="0" fontId="7" fillId="4" borderId="0" xfId="6" applyFill="1"/>
    <xf numFmtId="0" fontId="13" fillId="3" borderId="7" xfId="6" applyFont="1" applyFill="1" applyBorder="1" applyAlignment="1">
      <alignment vertical="center"/>
    </xf>
    <xf numFmtId="0" fontId="14" fillId="4" borderId="0" xfId="0" applyFont="1" applyFill="1"/>
    <xf numFmtId="0" fontId="15" fillId="4" borderId="0" xfId="6" applyFont="1" applyFill="1" applyAlignment="1">
      <alignment vertical="center"/>
    </xf>
    <xf numFmtId="0" fontId="13" fillId="3" borderId="7" xfId="2" applyNumberFormat="1" applyFont="1" applyFill="1" applyBorder="1" applyAlignment="1">
      <alignment vertical="center"/>
    </xf>
    <xf numFmtId="0" fontId="13" fillId="4" borderId="0" xfId="6" applyFont="1" applyFill="1" applyAlignment="1">
      <alignment horizontal="center" vertical="center"/>
    </xf>
    <xf numFmtId="0" fontId="13" fillId="4" borderId="0" xfId="6" applyFont="1" applyFill="1" applyAlignment="1">
      <alignment vertical="center"/>
    </xf>
    <xf numFmtId="43" fontId="13" fillId="4" borderId="0" xfId="1" applyFont="1" applyFill="1" applyBorder="1" applyAlignment="1">
      <alignment vertical="center"/>
    </xf>
    <xf numFmtId="165" fontId="13" fillId="3" borderId="7" xfId="1" applyNumberFormat="1" applyFont="1" applyFill="1" applyBorder="1" applyAlignment="1">
      <alignment vertical="center"/>
    </xf>
    <xf numFmtId="165" fontId="13" fillId="3" borderId="7" xfId="1" applyNumberFormat="1" applyFont="1" applyFill="1" applyBorder="1" applyAlignment="1">
      <alignment horizontal="center" vertical="center"/>
    </xf>
    <xf numFmtId="41" fontId="9" fillId="3" borderId="7" xfId="9" applyFont="1" applyFill="1" applyBorder="1" applyAlignment="1">
      <alignment vertical="center"/>
    </xf>
    <xf numFmtId="0" fontId="7" fillId="4" borderId="0" xfId="8" applyFill="1" applyAlignment="1">
      <alignment vertical="center"/>
    </xf>
    <xf numFmtId="41" fontId="7" fillId="4" borderId="0" xfId="8" applyNumberFormat="1" applyFill="1" applyAlignment="1">
      <alignment vertical="center"/>
    </xf>
    <xf numFmtId="0" fontId="7" fillId="4" borderId="0" xfId="8" applyFill="1"/>
    <xf numFmtId="0" fontId="9" fillId="4" borderId="0" xfId="8" applyFont="1" applyFill="1" applyAlignment="1">
      <alignment vertical="center"/>
    </xf>
    <xf numFmtId="0" fontId="16" fillId="4" borderId="0" xfId="8" applyFont="1" applyFill="1" applyAlignment="1">
      <alignment vertical="center"/>
    </xf>
    <xf numFmtId="0" fontId="17" fillId="4" borderId="0" xfId="8" applyFont="1" applyFill="1" applyAlignment="1">
      <alignment vertical="center"/>
    </xf>
    <xf numFmtId="0" fontId="18" fillId="4" borderId="0" xfId="8" applyFont="1" applyFill="1" applyAlignment="1">
      <alignment vertical="center"/>
    </xf>
    <xf numFmtId="0" fontId="7" fillId="4" borderId="0" xfId="8" applyFill="1" applyAlignment="1">
      <alignment horizontal="center" vertical="center"/>
    </xf>
    <xf numFmtId="0" fontId="7" fillId="4" borderId="0" xfId="8" quotePrefix="1" applyFill="1" applyAlignment="1">
      <alignment vertical="center"/>
    </xf>
    <xf numFmtId="0" fontId="9" fillId="8" borderId="7" xfId="8" applyFont="1" applyFill="1" applyBorder="1" applyAlignment="1">
      <alignment horizontal="center" vertical="center"/>
    </xf>
    <xf numFmtId="0" fontId="9" fillId="8" borderId="7" xfId="8" applyFont="1" applyFill="1" applyBorder="1" applyAlignment="1">
      <alignment vertical="center"/>
    </xf>
    <xf numFmtId="0" fontId="7" fillId="8" borderId="7" xfId="8" applyFill="1" applyBorder="1" applyAlignment="1">
      <alignment horizontal="center" vertical="center"/>
    </xf>
    <xf numFmtId="0" fontId="7" fillId="8" borderId="7" xfId="8" applyFill="1" applyBorder="1" applyAlignment="1">
      <alignment vertical="center"/>
    </xf>
    <xf numFmtId="0" fontId="19" fillId="3" borderId="7" xfId="8" applyFont="1" applyFill="1" applyBorder="1"/>
    <xf numFmtId="0" fontId="19" fillId="3" borderId="7" xfId="9" applyNumberFormat="1" applyFont="1" applyFill="1" applyBorder="1" applyAlignment="1">
      <alignment vertical="center"/>
    </xf>
    <xf numFmtId="0" fontId="9" fillId="8" borderId="7" xfId="8" applyFont="1" applyFill="1" applyBorder="1" applyAlignment="1">
      <alignment vertical="center" wrapText="1"/>
    </xf>
    <xf numFmtId="0" fontId="9" fillId="8" borderId="7" xfId="8" applyFont="1" applyFill="1" applyBorder="1" applyAlignment="1">
      <alignment horizontal="center" vertical="center" wrapText="1"/>
    </xf>
    <xf numFmtId="41" fontId="9" fillId="7" borderId="7" xfId="9" applyFont="1" applyFill="1" applyBorder="1" applyAlignment="1">
      <alignment vertical="center"/>
    </xf>
    <xf numFmtId="41" fontId="9" fillId="7" borderId="7" xfId="9" applyFont="1" applyFill="1" applyBorder="1" applyAlignment="1">
      <alignment horizontal="center" vertical="center"/>
    </xf>
    <xf numFmtId="0" fontId="9" fillId="7" borderId="7" xfId="8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textRotation="45" wrapText="1"/>
    </xf>
    <xf numFmtId="0" fontId="6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5" fillId="4" borderId="0" xfId="0" applyFont="1" applyFill="1" applyAlignment="1">
      <alignment vertical="center"/>
    </xf>
    <xf numFmtId="0" fontId="8" fillId="6" borderId="1" xfId="3" applyFont="1" applyFill="1" applyBorder="1" applyAlignment="1">
      <alignment horizontal="center" vertical="center"/>
    </xf>
    <xf numFmtId="0" fontId="8" fillId="8" borderId="1" xfId="3" applyFont="1" applyFill="1" applyBorder="1" applyAlignment="1">
      <alignment horizontal="center" vertical="center"/>
    </xf>
    <xf numFmtId="0" fontId="5" fillId="4" borderId="0" xfId="0" applyFont="1" applyFill="1" applyAlignment="1">
      <alignment horizontal="right" vertical="center"/>
    </xf>
    <xf numFmtId="0" fontId="4" fillId="5" borderId="0" xfId="0" applyFont="1" applyFill="1" applyAlignment="1">
      <alignment horizontal="center" vertical="center"/>
    </xf>
    <xf numFmtId="0" fontId="8" fillId="2" borderId="1" xfId="3" applyFont="1" applyFill="1" applyBorder="1" applyAlignment="1">
      <alignment horizontal="center" vertical="center"/>
    </xf>
    <xf numFmtId="0" fontId="8" fillId="3" borderId="1" xfId="3" quotePrefix="1" applyFont="1" applyFill="1" applyBorder="1" applyAlignment="1">
      <alignment vertical="center"/>
    </xf>
    <xf numFmtId="0" fontId="8" fillId="3" borderId="1" xfId="3" applyFont="1" applyFill="1" applyBorder="1" applyAlignment="1">
      <alignment horizontal="center" vertical="center"/>
    </xf>
    <xf numFmtId="0" fontId="8" fillId="8" borderId="2" xfId="4" applyFont="1" applyFill="1" applyBorder="1" applyAlignment="1">
      <alignment horizontal="center" vertical="center"/>
    </xf>
    <xf numFmtId="0" fontId="8" fillId="3" borderId="2" xfId="4" applyFont="1" applyFill="1" applyBorder="1" applyAlignment="1">
      <alignment horizontal="center" vertical="center"/>
    </xf>
    <xf numFmtId="0" fontId="7" fillId="4" borderId="0" xfId="5" applyFill="1" applyAlignment="1">
      <alignment vertical="center"/>
    </xf>
    <xf numFmtId="0" fontId="2" fillId="4" borderId="0" xfId="0" applyFont="1" applyFill="1" applyAlignment="1">
      <alignment vertical="center"/>
    </xf>
    <xf numFmtId="0" fontId="9" fillId="8" borderId="3" xfId="5" applyFont="1" applyFill="1" applyBorder="1" applyAlignment="1">
      <alignment vertical="center"/>
    </xf>
    <xf numFmtId="0" fontId="10" fillId="3" borderId="3" xfId="5" applyFont="1" applyFill="1" applyBorder="1" applyAlignment="1">
      <alignment horizontal="center" vertical="center"/>
    </xf>
    <xf numFmtId="0" fontId="9" fillId="3" borderId="3" xfId="5" applyFont="1" applyFill="1" applyBorder="1" applyAlignment="1">
      <alignment horizontal="center" vertical="center"/>
    </xf>
    <xf numFmtId="0" fontId="9" fillId="3" borderId="4" xfId="5" applyFont="1" applyFill="1" applyBorder="1" applyAlignment="1">
      <alignment horizontal="center" vertical="center"/>
    </xf>
    <xf numFmtId="0" fontId="9" fillId="8" borderId="5" xfId="5" applyFont="1" applyFill="1" applyBorder="1" applyAlignment="1">
      <alignment vertical="center"/>
    </xf>
    <xf numFmtId="0" fontId="9" fillId="8" borderId="6" xfId="5" applyFont="1" applyFill="1" applyBorder="1" applyAlignment="1">
      <alignment vertical="center"/>
    </xf>
    <xf numFmtId="0" fontId="11" fillId="4" borderId="0" xfId="5" applyFont="1" applyFill="1" applyAlignment="1">
      <alignment horizontal="left" vertical="center"/>
    </xf>
    <xf numFmtId="0" fontId="7" fillId="4" borderId="0" xfId="5" applyFill="1" applyAlignment="1">
      <alignment vertical="center" textRotation="9"/>
    </xf>
    <xf numFmtId="0" fontId="7" fillId="4" borderId="0" xfId="5" applyFill="1" applyAlignment="1">
      <alignment vertical="center" textRotation="9" shrinkToFit="1"/>
    </xf>
    <xf numFmtId="0" fontId="8" fillId="4" borderId="0" xfId="0" applyFont="1" applyFill="1" applyAlignment="1">
      <alignment vertical="center"/>
    </xf>
    <xf numFmtId="0" fontId="28" fillId="2" borderId="7" xfId="0" applyFont="1" applyFill="1" applyBorder="1" applyAlignment="1">
      <alignment vertical="center"/>
    </xf>
    <xf numFmtId="164" fontId="8" fillId="2" borderId="7" xfId="10" quotePrefix="1" applyNumberFormat="1" applyFont="1" applyFill="1" applyBorder="1" applyAlignment="1">
      <alignment horizontal="left" vertical="center"/>
    </xf>
    <xf numFmtId="164" fontId="8" fillId="2" borderId="7" xfId="10" applyNumberFormat="1" applyFont="1" applyFill="1" applyBorder="1" applyAlignment="1">
      <alignment vertical="center"/>
    </xf>
    <xf numFmtId="9" fontId="28" fillId="2" borderId="7" xfId="0" applyNumberFormat="1" applyFont="1" applyFill="1" applyBorder="1" applyAlignment="1">
      <alignment vertical="center"/>
    </xf>
    <xf numFmtId="0" fontId="0" fillId="10" borderId="0" xfId="0" quotePrefix="1" applyFill="1" applyAlignment="1">
      <alignment horizontal="left" vertical="center"/>
    </xf>
    <xf numFmtId="0" fontId="0" fillId="10" borderId="0" xfId="0" applyFill="1" applyAlignment="1">
      <alignment vertical="center"/>
    </xf>
    <xf numFmtId="0" fontId="0" fillId="10" borderId="0" xfId="0" quotePrefix="1" applyFill="1" applyAlignment="1">
      <alignment vertical="center"/>
    </xf>
    <xf numFmtId="0" fontId="9" fillId="4" borderId="0" xfId="0" applyFont="1" applyFill="1" applyAlignment="1">
      <alignment vertical="center"/>
    </xf>
    <xf numFmtId="167" fontId="23" fillId="4" borderId="0" xfId="0" applyNumberFormat="1" applyFont="1" applyFill="1" applyAlignment="1">
      <alignment vertical="center"/>
    </xf>
    <xf numFmtId="167" fontId="24" fillId="4" borderId="0" xfId="0" applyNumberFormat="1" applyFont="1" applyFill="1" applyAlignment="1">
      <alignment vertical="center"/>
    </xf>
    <xf numFmtId="0" fontId="0" fillId="4" borderId="0" xfId="0" applyFill="1" applyAlignment="1">
      <alignment vertical="center" textRotation="9"/>
    </xf>
    <xf numFmtId="0" fontId="0" fillId="4" borderId="0" xfId="0" applyFill="1" applyAlignment="1">
      <alignment vertical="center" textRotation="9" shrinkToFit="1"/>
    </xf>
    <xf numFmtId="0" fontId="9" fillId="2" borderId="1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vertical="center"/>
    </xf>
    <xf numFmtId="166" fontId="9" fillId="2" borderId="3" xfId="0" applyNumberFormat="1" applyFont="1" applyFill="1" applyBorder="1" applyAlignment="1">
      <alignment vertical="center"/>
    </xf>
    <xf numFmtId="0" fontId="9" fillId="2" borderId="5" xfId="0" applyFont="1" applyFill="1" applyBorder="1" applyAlignment="1">
      <alignment vertical="center"/>
    </xf>
    <xf numFmtId="166" fontId="9" fillId="2" borderId="5" xfId="0" applyNumberFormat="1" applyFont="1" applyFill="1" applyBorder="1" applyAlignment="1">
      <alignment vertical="center"/>
    </xf>
    <xf numFmtId="0" fontId="9" fillId="2" borderId="5" xfId="0" quotePrefix="1" applyFont="1" applyFill="1" applyBorder="1" applyAlignment="1">
      <alignment horizontal="left" vertical="center"/>
    </xf>
    <xf numFmtId="0" fontId="9" fillId="2" borderId="12" xfId="0" applyFont="1" applyFill="1" applyBorder="1" applyAlignment="1">
      <alignment vertical="center"/>
    </xf>
    <xf numFmtId="166" fontId="9" fillId="2" borderId="12" xfId="0" applyNumberFormat="1" applyFont="1" applyFill="1" applyBorder="1" applyAlignment="1">
      <alignment vertical="center"/>
    </xf>
    <xf numFmtId="0" fontId="11" fillId="10" borderId="0" xfId="0" applyFont="1" applyFill="1" applyAlignment="1">
      <alignment horizontal="left" vertical="center"/>
    </xf>
    <xf numFmtId="167" fontId="23" fillId="10" borderId="0" xfId="0" applyNumberFormat="1" applyFont="1" applyFill="1" applyAlignment="1">
      <alignment vertical="center"/>
    </xf>
    <xf numFmtId="167" fontId="9" fillId="10" borderId="13" xfId="0" quotePrefix="1" applyNumberFormat="1" applyFont="1" applyFill="1" applyBorder="1" applyAlignment="1">
      <alignment horizontal="left" vertical="center"/>
    </xf>
    <xf numFmtId="167" fontId="24" fillId="10" borderId="0" xfId="0" applyNumberFormat="1" applyFont="1" applyFill="1" applyAlignment="1">
      <alignment vertical="center"/>
    </xf>
    <xf numFmtId="0" fontId="9" fillId="10" borderId="0" xfId="0" applyFont="1" applyFill="1" applyAlignment="1">
      <alignment vertical="center"/>
    </xf>
    <xf numFmtId="0" fontId="9" fillId="10" borderId="0" xfId="0" quotePrefix="1" applyFont="1" applyFill="1" applyAlignment="1">
      <alignment horizontal="left" vertical="center"/>
    </xf>
    <xf numFmtId="166" fontId="9" fillId="10" borderId="0" xfId="0" applyNumberFormat="1" applyFont="1" applyFill="1" applyAlignment="1">
      <alignment vertical="center"/>
    </xf>
    <xf numFmtId="0" fontId="9" fillId="2" borderId="1" xfId="0" applyFont="1" applyFill="1" applyBorder="1" applyAlignment="1">
      <alignment vertical="center"/>
    </xf>
    <xf numFmtId="0" fontId="10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31" fillId="4" borderId="0" xfId="0" applyFont="1" applyFill="1"/>
    <xf numFmtId="0" fontId="0" fillId="11" borderId="0" xfId="0" applyFill="1"/>
    <xf numFmtId="0" fontId="0" fillId="12" borderId="15" xfId="0" applyFill="1" applyBorder="1" applyAlignment="1">
      <alignment vertical="center"/>
    </xf>
    <xf numFmtId="0" fontId="0" fillId="13" borderId="7" xfId="0" applyFill="1" applyBorder="1" applyAlignment="1">
      <alignment vertical="center"/>
    </xf>
    <xf numFmtId="0" fontId="30" fillId="4" borderId="0" xfId="0" applyFont="1" applyFill="1" applyAlignment="1">
      <alignment vertical="center"/>
    </xf>
    <xf numFmtId="0" fontId="28" fillId="11" borderId="7" xfId="0" applyFont="1" applyFill="1" applyBorder="1" applyAlignment="1">
      <alignment horizontal="center" vertical="center"/>
    </xf>
    <xf numFmtId="0" fontId="28" fillId="11" borderId="7" xfId="0" applyFont="1" applyFill="1" applyBorder="1" applyAlignment="1">
      <alignment vertical="center"/>
    </xf>
    <xf numFmtId="0" fontId="28" fillId="7" borderId="7" xfId="0" applyFont="1" applyFill="1" applyBorder="1" applyAlignment="1">
      <alignment horizontal="center" vertical="center"/>
    </xf>
    <xf numFmtId="165" fontId="28" fillId="7" borderId="7" xfId="1" applyNumberFormat="1" applyFont="1" applyFill="1" applyBorder="1" applyAlignment="1">
      <alignment horizontal="center" vertical="center"/>
    </xf>
    <xf numFmtId="9" fontId="28" fillId="7" borderId="7" xfId="0" applyNumberFormat="1" applyFont="1" applyFill="1" applyBorder="1" applyAlignment="1">
      <alignment horizontal="center" vertical="center"/>
    </xf>
    <xf numFmtId="10" fontId="28" fillId="7" borderId="7" xfId="0" applyNumberFormat="1" applyFont="1" applyFill="1" applyBorder="1" applyAlignment="1">
      <alignment horizontal="center" vertical="center"/>
    </xf>
    <xf numFmtId="0" fontId="3" fillId="12" borderId="7" xfId="0" applyFont="1" applyFill="1" applyBorder="1" applyAlignment="1">
      <alignment horizontal="center" vertical="center"/>
    </xf>
    <xf numFmtId="0" fontId="5" fillId="12" borderId="7" xfId="0" applyFont="1" applyFill="1" applyBorder="1" applyAlignment="1">
      <alignment horizontal="center" vertical="center"/>
    </xf>
    <xf numFmtId="0" fontId="5" fillId="12" borderId="14" xfId="0" applyFont="1" applyFill="1" applyBorder="1" applyAlignment="1">
      <alignment vertical="center"/>
    </xf>
    <xf numFmtId="0" fontId="2" fillId="10" borderId="0" xfId="0" applyFont="1" applyFill="1" applyAlignment="1">
      <alignment vertical="center"/>
    </xf>
    <xf numFmtId="0" fontId="0" fillId="11" borderId="0" xfId="0" applyFill="1" applyAlignment="1">
      <alignment vertical="center"/>
    </xf>
    <xf numFmtId="0" fontId="5" fillId="11" borderId="0" xfId="0" applyFont="1" applyFill="1" applyAlignment="1">
      <alignment vertical="center"/>
    </xf>
    <xf numFmtId="0" fontId="5" fillId="11" borderId="0" xfId="0" applyFont="1" applyFill="1"/>
    <xf numFmtId="0" fontId="30" fillId="11" borderId="0" xfId="0" applyFont="1" applyFill="1" applyAlignment="1">
      <alignment vertical="center"/>
    </xf>
    <xf numFmtId="0" fontId="30" fillId="11" borderId="0" xfId="0" applyFont="1" applyFill="1"/>
    <xf numFmtId="0" fontId="35" fillId="11" borderId="0" xfId="0" applyFont="1" applyFill="1" applyAlignment="1">
      <alignment vertical="center"/>
    </xf>
    <xf numFmtId="0" fontId="35" fillId="11" borderId="0" xfId="0" quotePrefix="1" applyFont="1" applyFill="1" applyAlignment="1">
      <alignment vertical="center"/>
    </xf>
    <xf numFmtId="0" fontId="36" fillId="11" borderId="0" xfId="0" applyFont="1" applyFill="1" applyAlignment="1">
      <alignment vertical="center"/>
    </xf>
    <xf numFmtId="0" fontId="3" fillId="11" borderId="0" xfId="0" applyFont="1" applyFill="1"/>
    <xf numFmtId="0" fontId="37" fillId="11" borderId="0" xfId="0" applyFont="1" applyFill="1" applyAlignment="1">
      <alignment vertical="center"/>
    </xf>
    <xf numFmtId="0" fontId="32" fillId="11" borderId="0" xfId="0" applyFont="1" applyFill="1" applyAlignment="1">
      <alignment vertical="center"/>
    </xf>
    <xf numFmtId="0" fontId="5" fillId="12" borderId="9" xfId="0" applyFont="1" applyFill="1" applyBorder="1" applyAlignment="1">
      <alignment horizontal="center" vertical="center"/>
    </xf>
    <xf numFmtId="0" fontId="5" fillId="12" borderId="8" xfId="0" applyFont="1" applyFill="1" applyBorder="1" applyAlignment="1">
      <alignment horizontal="center" vertical="center"/>
    </xf>
    <xf numFmtId="0" fontId="2" fillId="14" borderId="7" xfId="0" applyFont="1" applyFill="1" applyBorder="1"/>
    <xf numFmtId="0" fontId="0" fillId="14" borderId="7" xfId="0" applyFill="1" applyBorder="1"/>
    <xf numFmtId="0" fontId="0" fillId="15" borderId="7" xfId="0" applyFill="1" applyBorder="1"/>
    <xf numFmtId="0" fontId="2" fillId="14" borderId="7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38" fillId="0" borderId="0" xfId="0" applyFont="1"/>
    <xf numFmtId="9" fontId="0" fillId="4" borderId="0" xfId="0" applyNumberFormat="1" applyFill="1" applyAlignment="1">
      <alignment vertical="center"/>
    </xf>
    <xf numFmtId="10" fontId="0" fillId="4" borderId="0" xfId="0" applyNumberFormat="1" applyFill="1" applyAlignment="1">
      <alignment vertical="center"/>
    </xf>
    <xf numFmtId="15" fontId="0" fillId="0" borderId="0" xfId="0" applyNumberFormat="1"/>
    <xf numFmtId="0" fontId="25" fillId="2" borderId="10" xfId="0" applyFont="1" applyFill="1" applyBorder="1" applyAlignment="1">
      <alignment horizontal="center" vertical="center"/>
    </xf>
    <xf numFmtId="0" fontId="25" fillId="2" borderId="6" xfId="0" applyFont="1" applyFill="1" applyBorder="1" applyAlignment="1">
      <alignment horizontal="center" vertical="center"/>
    </xf>
    <xf numFmtId="0" fontId="5" fillId="11" borderId="0" xfId="0" quotePrefix="1" applyFont="1" applyFill="1" applyAlignment="1">
      <alignment vertical="center"/>
    </xf>
    <xf numFmtId="0" fontId="29" fillId="2" borderId="5" xfId="0" applyFont="1" applyFill="1" applyBorder="1" applyAlignment="1">
      <alignment horizontal="center" vertical="center"/>
    </xf>
    <xf numFmtId="0" fontId="29" fillId="9" borderId="1" xfId="0" applyFont="1" applyFill="1" applyBorder="1" applyAlignment="1">
      <alignment vertical="center"/>
    </xf>
    <xf numFmtId="0" fontId="29" fillId="9" borderId="1" xfId="0" applyFont="1" applyFill="1" applyBorder="1" applyAlignment="1">
      <alignment horizontal="center" vertical="center"/>
    </xf>
    <xf numFmtId="0" fontId="29" fillId="2" borderId="3" xfId="0" applyFont="1" applyFill="1" applyBorder="1" applyAlignment="1">
      <alignment horizontal="center" vertical="center"/>
    </xf>
    <xf numFmtId="0" fontId="29" fillId="2" borderId="12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166" fontId="9" fillId="10" borderId="5" xfId="0" applyNumberFormat="1" applyFont="1" applyFill="1" applyBorder="1" applyAlignment="1">
      <alignment horizontal="left" vertical="center"/>
    </xf>
    <xf numFmtId="166" fontId="9" fillId="10" borderId="5" xfId="0" quotePrefix="1" applyNumberFormat="1" applyFont="1" applyFill="1" applyBorder="1" applyAlignment="1">
      <alignment horizontal="left" vertical="center"/>
    </xf>
    <xf numFmtId="166" fontId="9" fillId="10" borderId="5" xfId="0" applyNumberFormat="1" applyFont="1" applyFill="1" applyBorder="1" applyAlignment="1">
      <alignment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166" fontId="20" fillId="9" borderId="3" xfId="0" applyNumberFormat="1" applyFont="1" applyFill="1" applyBorder="1" applyAlignment="1">
      <alignment vertical="center"/>
    </xf>
    <xf numFmtId="166" fontId="20" fillId="9" borderId="5" xfId="0" quotePrefix="1" applyNumberFormat="1" applyFont="1" applyFill="1" applyBorder="1" applyAlignment="1">
      <alignment horizontal="left" vertical="center"/>
    </xf>
    <xf numFmtId="166" fontId="20" fillId="9" borderId="18" xfId="0" applyNumberFormat="1" applyFont="1" applyFill="1" applyBorder="1" applyAlignment="1">
      <alignment vertical="center"/>
    </xf>
    <xf numFmtId="0" fontId="40" fillId="4" borderId="0" xfId="0" applyFont="1" applyFill="1" applyAlignment="1">
      <alignment vertical="center"/>
    </xf>
    <xf numFmtId="14" fontId="5" fillId="7" borderId="7" xfId="0" applyNumberFormat="1" applyFont="1" applyFill="1" applyBorder="1" applyAlignment="1">
      <alignment horizontal="center" vertical="center"/>
    </xf>
    <xf numFmtId="0" fontId="12" fillId="10" borderId="0" xfId="0" applyFont="1" applyFill="1"/>
    <xf numFmtId="0" fontId="13" fillId="10" borderId="0" xfId="0" applyFont="1" applyFill="1"/>
    <xf numFmtId="0" fontId="12" fillId="7" borderId="7" xfId="11" applyFont="1" applyFill="1" applyBorder="1"/>
    <xf numFmtId="0" fontId="12" fillId="7" borderId="7" xfId="11" applyFont="1" applyFill="1" applyBorder="1" applyAlignment="1">
      <alignment vertical="center"/>
    </xf>
    <xf numFmtId="0" fontId="27" fillId="11" borderId="0" xfId="0" applyFont="1" applyFill="1" applyAlignment="1">
      <alignment vertical="center"/>
    </xf>
    <xf numFmtId="0" fontId="8" fillId="11" borderId="0" xfId="0" quotePrefix="1" applyFont="1" applyFill="1" applyAlignment="1">
      <alignment vertical="center"/>
    </xf>
    <xf numFmtId="0" fontId="0" fillId="14" borderId="0" xfId="0" applyFill="1"/>
    <xf numFmtId="0" fontId="0" fillId="5" borderId="7" xfId="0" applyFill="1" applyBorder="1"/>
    <xf numFmtId="0" fontId="0" fillId="5" borderId="7" xfId="0" quotePrefix="1" applyFill="1" applyBorder="1"/>
    <xf numFmtId="0" fontId="0" fillId="5" borderId="7" xfId="0" applyFill="1" applyBorder="1" applyAlignment="1">
      <alignment horizontal="center"/>
    </xf>
    <xf numFmtId="0" fontId="26" fillId="7" borderId="0" xfId="0" applyFont="1" applyFill="1"/>
    <xf numFmtId="0" fontId="42" fillId="18" borderId="7" xfId="0" applyFont="1" applyFill="1" applyBorder="1" applyAlignment="1">
      <alignment horizontal="center" vertical="center"/>
    </xf>
    <xf numFmtId="0" fontId="26" fillId="7" borderId="0" xfId="0" applyFont="1" applyFill="1" applyAlignment="1">
      <alignment vertical="center"/>
    </xf>
    <xf numFmtId="0" fontId="26" fillId="12" borderId="7" xfId="0" applyFont="1" applyFill="1" applyBorder="1" applyAlignment="1">
      <alignment vertical="center"/>
    </xf>
    <xf numFmtId="0" fontId="26" fillId="2" borderId="7" xfId="0" applyFont="1" applyFill="1" applyBorder="1" applyAlignment="1">
      <alignment vertical="center"/>
    </xf>
    <xf numFmtId="0" fontId="26" fillId="2" borderId="7" xfId="0" applyFont="1" applyFill="1" applyBorder="1" applyAlignment="1">
      <alignment horizontal="center" vertical="center"/>
    </xf>
    <xf numFmtId="9" fontId="26" fillId="7" borderId="0" xfId="12" applyFont="1" applyFill="1"/>
    <xf numFmtId="0" fontId="28" fillId="7" borderId="0" xfId="0" applyFont="1" applyFill="1"/>
    <xf numFmtId="0" fontId="26" fillId="12" borderId="7" xfId="0" applyFont="1" applyFill="1" applyBorder="1" applyAlignment="1">
      <alignment horizontal="center"/>
    </xf>
    <xf numFmtId="0" fontId="26" fillId="12" borderId="7" xfId="0" applyFont="1" applyFill="1" applyBorder="1"/>
    <xf numFmtId="165" fontId="26" fillId="12" borderId="7" xfId="1" applyNumberFormat="1" applyFont="1" applyFill="1" applyBorder="1"/>
    <xf numFmtId="0" fontId="26" fillId="12" borderId="7" xfId="0" quotePrefix="1" applyFont="1" applyFill="1" applyBorder="1" applyAlignment="1">
      <alignment horizontal="center"/>
    </xf>
    <xf numFmtId="49" fontId="28" fillId="7" borderId="0" xfId="0" applyNumberFormat="1" applyFont="1" applyFill="1"/>
    <xf numFmtId="0" fontId="26" fillId="7" borderId="0" xfId="0" quotePrefix="1" applyFont="1" applyFill="1" applyAlignment="1">
      <alignment horizontal="center"/>
    </xf>
    <xf numFmtId="0" fontId="26" fillId="17" borderId="0" xfId="0" applyFont="1" applyFill="1"/>
    <xf numFmtId="0" fontId="8" fillId="17" borderId="0" xfId="0" applyFont="1" applyFill="1"/>
    <xf numFmtId="0" fontId="42" fillId="18" borderId="9" xfId="0" applyFont="1" applyFill="1" applyBorder="1" applyAlignment="1">
      <alignment horizontal="center" vertical="center"/>
    </xf>
    <xf numFmtId="0" fontId="42" fillId="18" borderId="8" xfId="0" applyFont="1" applyFill="1" applyBorder="1" applyAlignment="1">
      <alignment horizontal="center" vertical="center"/>
    </xf>
    <xf numFmtId="170" fontId="42" fillId="18" borderId="7" xfId="0" applyNumberFormat="1" applyFont="1" applyFill="1" applyBorder="1" applyAlignment="1">
      <alignment horizontal="center" vertical="center" wrapText="1"/>
    </xf>
    <xf numFmtId="0" fontId="26" fillId="22" borderId="7" xfId="0" applyFont="1" applyFill="1" applyBorder="1" applyAlignment="1">
      <alignment horizontal="center" vertical="center"/>
    </xf>
    <xf numFmtId="0" fontId="26" fillId="22" borderId="7" xfId="0" applyFont="1" applyFill="1" applyBorder="1"/>
    <xf numFmtId="1" fontId="26" fillId="22" borderId="7" xfId="0" applyNumberFormat="1" applyFont="1" applyFill="1" applyBorder="1" applyAlignment="1">
      <alignment horizontal="center" vertical="center"/>
    </xf>
    <xf numFmtId="0" fontId="26" fillId="23" borderId="7" xfId="0" applyFont="1" applyFill="1" applyBorder="1" applyAlignment="1">
      <alignment horizontal="left" vertical="center" indent="1"/>
    </xf>
    <xf numFmtId="0" fontId="44" fillId="18" borderId="7" xfId="0" applyFont="1" applyFill="1" applyBorder="1" applyAlignment="1">
      <alignment horizontal="center" vertical="center"/>
    </xf>
    <xf numFmtId="0" fontId="26" fillId="17" borderId="0" xfId="0" applyFont="1" applyFill="1" applyAlignment="1">
      <alignment vertical="center"/>
    </xf>
    <xf numFmtId="0" fontId="28" fillId="17" borderId="0" xfId="0" applyFont="1" applyFill="1"/>
    <xf numFmtId="0" fontId="28" fillId="22" borderId="7" xfId="0" applyFont="1" applyFill="1" applyBorder="1" applyAlignment="1">
      <alignment vertical="center"/>
    </xf>
    <xf numFmtId="0" fontId="28" fillId="22" borderId="7" xfId="0" applyFont="1" applyFill="1" applyBorder="1"/>
    <xf numFmtId="9" fontId="28" fillId="22" borderId="7" xfId="0" applyNumberFormat="1" applyFont="1" applyFill="1" applyBorder="1" applyAlignment="1">
      <alignment horizontal="right" vertical="center"/>
    </xf>
    <xf numFmtId="0" fontId="26" fillId="22" borderId="7" xfId="0" applyFont="1" applyFill="1" applyBorder="1" applyAlignment="1">
      <alignment horizontal="left" vertical="center" indent="1"/>
    </xf>
    <xf numFmtId="41" fontId="26" fillId="22" borderId="7" xfId="0" applyNumberFormat="1" applyFont="1" applyFill="1" applyBorder="1" applyAlignment="1">
      <alignment vertical="center"/>
    </xf>
    <xf numFmtId="49" fontId="28" fillId="17" borderId="0" xfId="0" applyNumberFormat="1" applyFont="1" applyFill="1"/>
    <xf numFmtId="0" fontId="26" fillId="20" borderId="0" xfId="0" applyFont="1" applyFill="1"/>
    <xf numFmtId="0" fontId="42" fillId="18" borderId="7" xfId="0" applyFont="1" applyFill="1" applyBorder="1" applyAlignment="1">
      <alignment horizontal="center" vertical="center" wrapText="1" shrinkToFit="1"/>
    </xf>
    <xf numFmtId="0" fontId="26" fillId="20" borderId="0" xfId="0" applyFont="1" applyFill="1" applyAlignment="1">
      <alignment horizontal="center"/>
    </xf>
    <xf numFmtId="0" fontId="26" fillId="21" borderId="7" xfId="0" applyFont="1" applyFill="1" applyBorder="1" applyAlignment="1">
      <alignment horizontal="right" vertical="center"/>
    </xf>
    <xf numFmtId="0" fontId="26" fillId="21" borderId="7" xfId="0" applyFont="1" applyFill="1" applyBorder="1"/>
    <xf numFmtId="0" fontId="26" fillId="21" borderId="7" xfId="0" applyFont="1" applyFill="1" applyBorder="1" applyAlignment="1">
      <alignment horizontal="center" vertical="center"/>
    </xf>
    <xf numFmtId="0" fontId="26" fillId="19" borderId="7" xfId="0" quotePrefix="1" applyFont="1" applyFill="1" applyBorder="1" applyAlignment="1">
      <alignment horizontal="left" vertical="center" indent="1"/>
    </xf>
    <xf numFmtId="0" fontId="26" fillId="19" borderId="7" xfId="0" applyFont="1" applyFill="1" applyBorder="1" applyAlignment="1">
      <alignment horizontal="left" vertical="center" indent="1"/>
    </xf>
    <xf numFmtId="0" fontId="26" fillId="20" borderId="0" xfId="0" applyFont="1" applyFill="1" applyAlignment="1">
      <alignment horizontal="center" vertical="center"/>
    </xf>
    <xf numFmtId="0" fontId="26" fillId="20" borderId="0" xfId="0" applyFont="1" applyFill="1" applyAlignment="1">
      <alignment vertical="center"/>
    </xf>
    <xf numFmtId="2" fontId="26" fillId="20" borderId="0" xfId="0" quotePrefix="1" applyNumberFormat="1" applyFont="1" applyFill="1" applyAlignment="1">
      <alignment horizontal="left" vertical="center" indent="1"/>
    </xf>
    <xf numFmtId="0" fontId="26" fillId="20" borderId="0" xfId="0" applyFont="1" applyFill="1" applyAlignment="1">
      <alignment horizontal="left" vertical="center" indent="1"/>
    </xf>
    <xf numFmtId="165" fontId="45" fillId="20" borderId="0" xfId="1" applyNumberFormat="1" applyFont="1" applyFill="1" applyBorder="1" applyAlignment="1">
      <alignment vertical="center"/>
    </xf>
    <xf numFmtId="165" fontId="26" fillId="20" borderId="0" xfId="0" applyNumberFormat="1" applyFont="1" applyFill="1" applyAlignment="1">
      <alignment vertical="center"/>
    </xf>
    <xf numFmtId="0" fontId="42" fillId="18" borderId="7" xfId="0" applyFont="1" applyFill="1" applyBorder="1" applyAlignment="1">
      <alignment horizontal="center" vertical="center" wrapText="1"/>
    </xf>
    <xf numFmtId="0" fontId="26" fillId="21" borderId="7" xfId="0" applyFont="1" applyFill="1" applyBorder="1" applyAlignment="1">
      <alignment horizontal="center"/>
    </xf>
    <xf numFmtId="165" fontId="45" fillId="21" borderId="7" xfId="1" applyNumberFormat="1" applyFont="1" applyFill="1" applyBorder="1"/>
    <xf numFmtId="9" fontId="26" fillId="21" borderId="7" xfId="0" applyNumberFormat="1" applyFont="1" applyFill="1" applyBorder="1" applyAlignment="1">
      <alignment horizontal="center"/>
    </xf>
    <xf numFmtId="0" fontId="46" fillId="20" borderId="0" xfId="0" applyFont="1" applyFill="1"/>
    <xf numFmtId="0" fontId="28" fillId="20" borderId="0" xfId="0" applyFont="1" applyFill="1"/>
    <xf numFmtId="49" fontId="28" fillId="20" borderId="0" xfId="0" applyNumberFormat="1" applyFont="1" applyFill="1"/>
    <xf numFmtId="0" fontId="26" fillId="24" borderId="0" xfId="0" applyFont="1" applyFill="1"/>
    <xf numFmtId="0" fontId="42" fillId="18" borderId="7" xfId="0" applyFont="1" applyFill="1" applyBorder="1" applyAlignment="1">
      <alignment horizontal="center"/>
    </xf>
    <xf numFmtId="171" fontId="42" fillId="18" borderId="7" xfId="0" applyNumberFormat="1" applyFont="1" applyFill="1" applyBorder="1" applyAlignment="1">
      <alignment horizontal="center"/>
    </xf>
    <xf numFmtId="0" fontId="26" fillId="22" borderId="7" xfId="0" applyFont="1" applyFill="1" applyBorder="1" applyAlignment="1">
      <alignment horizontal="center"/>
    </xf>
    <xf numFmtId="1" fontId="26" fillId="22" borderId="7" xfId="0" applyNumberFormat="1" applyFont="1" applyFill="1" applyBorder="1" applyAlignment="1">
      <alignment horizontal="center"/>
    </xf>
    <xf numFmtId="1" fontId="26" fillId="23" borderId="7" xfId="0" applyNumberFormat="1" applyFont="1" applyFill="1" applyBorder="1" applyAlignment="1">
      <alignment horizontal="center"/>
    </xf>
    <xf numFmtId="171" fontId="26" fillId="22" borderId="7" xfId="0" applyNumberFormat="1" applyFont="1" applyFill="1" applyBorder="1" applyAlignment="1">
      <alignment horizontal="center"/>
    </xf>
    <xf numFmtId="0" fontId="26" fillId="23" borderId="7" xfId="0" applyFont="1" applyFill="1" applyBorder="1" applyAlignment="1">
      <alignment horizontal="center"/>
    </xf>
    <xf numFmtId="0" fontId="26" fillId="24" borderId="0" xfId="0" applyFont="1" applyFill="1" applyAlignment="1">
      <alignment horizontal="center"/>
    </xf>
    <xf numFmtId="1" fontId="26" fillId="24" borderId="0" xfId="0" applyNumberFormat="1" applyFont="1" applyFill="1" applyAlignment="1">
      <alignment horizontal="center"/>
    </xf>
    <xf numFmtId="171" fontId="26" fillId="24" borderId="0" xfId="0" applyNumberFormat="1" applyFont="1" applyFill="1" applyAlignment="1">
      <alignment horizontal="center"/>
    </xf>
    <xf numFmtId="41" fontId="26" fillId="24" borderId="0" xfId="10" applyFont="1" applyFill="1" applyBorder="1" applyAlignment="1">
      <alignment horizontal="center"/>
    </xf>
    <xf numFmtId="0" fontId="42" fillId="18" borderId="9" xfId="0" applyFont="1" applyFill="1" applyBorder="1" applyAlignment="1">
      <alignment horizontal="center"/>
    </xf>
    <xf numFmtId="49" fontId="28" fillId="24" borderId="0" xfId="0" applyNumberFormat="1" applyFont="1" applyFill="1" applyAlignment="1">
      <alignment horizontal="left"/>
    </xf>
    <xf numFmtId="49" fontId="26" fillId="24" borderId="0" xfId="0" applyNumberFormat="1" applyFont="1" applyFill="1" applyAlignment="1">
      <alignment horizontal="center"/>
    </xf>
    <xf numFmtId="0" fontId="42" fillId="18" borderId="8" xfId="0" applyFont="1" applyFill="1" applyBorder="1" applyAlignment="1">
      <alignment horizontal="center"/>
    </xf>
    <xf numFmtId="171" fontId="28" fillId="24" borderId="0" xfId="0" applyNumberFormat="1" applyFont="1" applyFill="1" applyAlignment="1">
      <alignment horizontal="center"/>
    </xf>
    <xf numFmtId="49" fontId="28" fillId="24" borderId="0" xfId="0" applyNumberFormat="1" applyFont="1" applyFill="1"/>
    <xf numFmtId="49" fontId="28" fillId="24" borderId="0" xfId="0" applyNumberFormat="1" applyFont="1" applyFill="1" applyAlignment="1">
      <alignment horizontal="center"/>
    </xf>
    <xf numFmtId="0" fontId="28" fillId="24" borderId="0" xfId="0" applyFont="1" applyFill="1"/>
    <xf numFmtId="164" fontId="26" fillId="22" borderId="8" xfId="10" applyNumberFormat="1" applyFont="1" applyFill="1" applyBorder="1" applyAlignment="1">
      <alignment horizontal="center"/>
    </xf>
    <xf numFmtId="164" fontId="26" fillId="22" borderId="7" xfId="10" applyNumberFormat="1" applyFont="1" applyFill="1" applyBorder="1" applyAlignment="1">
      <alignment horizontal="center"/>
    </xf>
    <xf numFmtId="0" fontId="26" fillId="5" borderId="0" xfId="0" applyFont="1" applyFill="1"/>
    <xf numFmtId="0" fontId="26" fillId="5" borderId="0" xfId="0" applyFont="1" applyFill="1" applyAlignment="1">
      <alignment horizontal="center"/>
    </xf>
    <xf numFmtId="0" fontId="44" fillId="5" borderId="0" xfId="0" applyFont="1" applyFill="1" applyAlignment="1">
      <alignment horizontal="center" vertical="center"/>
    </xf>
    <xf numFmtId="0" fontId="46" fillId="5" borderId="0" xfId="0" applyFont="1" applyFill="1" applyAlignment="1">
      <alignment horizontal="center" vertical="center"/>
    </xf>
    <xf numFmtId="0" fontId="26" fillId="16" borderId="7" xfId="0" applyFont="1" applyFill="1" applyBorder="1" applyAlignment="1">
      <alignment vertical="center"/>
    </xf>
    <xf numFmtId="0" fontId="26" fillId="16" borderId="7" xfId="0" applyFont="1" applyFill="1" applyBorder="1" applyAlignment="1">
      <alignment horizontal="left" vertical="center" indent="1"/>
    </xf>
    <xf numFmtId="0" fontId="26" fillId="4" borderId="7" xfId="0" applyFont="1" applyFill="1" applyBorder="1" applyAlignment="1">
      <alignment vertical="center"/>
    </xf>
    <xf numFmtId="0" fontId="26" fillId="4" borderId="7" xfId="0" applyFont="1" applyFill="1" applyBorder="1" applyAlignment="1">
      <alignment horizontal="center" vertical="center"/>
    </xf>
    <xf numFmtId="0" fontId="26" fillId="4" borderId="8" xfId="0" applyFont="1" applyFill="1" applyBorder="1" applyAlignment="1">
      <alignment vertical="center"/>
    </xf>
    <xf numFmtId="165" fontId="26" fillId="4" borderId="7" xfId="0" applyNumberFormat="1" applyFont="1" applyFill="1" applyBorder="1" applyAlignment="1">
      <alignment vertical="center"/>
    </xf>
    <xf numFmtId="20" fontId="26" fillId="5" borderId="0" xfId="0" applyNumberFormat="1" applyFont="1" applyFill="1" applyAlignment="1">
      <alignment vertical="center"/>
    </xf>
    <xf numFmtId="0" fontId="26" fillId="5" borderId="0" xfId="0" applyFont="1" applyFill="1" applyAlignment="1">
      <alignment vertical="center"/>
    </xf>
    <xf numFmtId="0" fontId="46" fillId="5" borderId="0" xfId="0" applyFont="1" applyFill="1"/>
    <xf numFmtId="165" fontId="48" fillId="4" borderId="7" xfId="0" applyNumberFormat="1" applyFont="1" applyFill="1" applyBorder="1"/>
    <xf numFmtId="0" fontId="42" fillId="18" borderId="7" xfId="0" applyFont="1" applyFill="1" applyBorder="1" applyAlignment="1">
      <alignment vertical="center"/>
    </xf>
    <xf numFmtId="0" fontId="26" fillId="16" borderId="7" xfId="0" quotePrefix="1" applyFont="1" applyFill="1" applyBorder="1" applyAlignment="1">
      <alignment horizontal="center" vertical="center"/>
    </xf>
    <xf numFmtId="0" fontId="26" fillId="16" borderId="7" xfId="0" applyFont="1" applyFill="1" applyBorder="1" applyAlignment="1">
      <alignment horizontal="right" vertical="center"/>
    </xf>
    <xf numFmtId="0" fontId="26" fillId="16" borderId="7" xfId="0" applyFont="1" applyFill="1" applyBorder="1" applyAlignment="1">
      <alignment horizontal="center" vertical="center"/>
    </xf>
    <xf numFmtId="164" fontId="45" fillId="16" borderId="7" xfId="1" applyNumberFormat="1" applyFont="1" applyFill="1" applyBorder="1" applyAlignment="1">
      <alignment vertical="center"/>
    </xf>
    <xf numFmtId="9" fontId="26" fillId="16" borderId="7" xfId="0" applyNumberFormat="1" applyFont="1" applyFill="1" applyBorder="1" applyAlignment="1">
      <alignment vertical="center"/>
    </xf>
    <xf numFmtId="165" fontId="26" fillId="5" borderId="0" xfId="0" applyNumberFormat="1" applyFont="1" applyFill="1"/>
    <xf numFmtId="0" fontId="28" fillId="5" borderId="0" xfId="0" applyFont="1" applyFill="1"/>
    <xf numFmtId="49" fontId="28" fillId="5" borderId="0" xfId="0" applyNumberFormat="1" applyFont="1" applyFill="1"/>
    <xf numFmtId="49" fontId="26" fillId="5" borderId="0" xfId="0" applyNumberFormat="1" applyFont="1" applyFill="1" applyAlignment="1">
      <alignment vertical="center"/>
    </xf>
    <xf numFmtId="49" fontId="26" fillId="5" borderId="0" xfId="0" applyNumberFormat="1" applyFont="1" applyFill="1"/>
    <xf numFmtId="172" fontId="26" fillId="2" borderId="7" xfId="0" applyNumberFormat="1" applyFont="1" applyFill="1" applyBorder="1" applyAlignment="1">
      <alignment vertical="center"/>
    </xf>
    <xf numFmtId="164" fontId="27" fillId="10" borderId="16" xfId="0" applyNumberFormat="1" applyFont="1" applyFill="1" applyBorder="1" applyAlignment="1">
      <alignment vertical="center"/>
    </xf>
    <xf numFmtId="164" fontId="26" fillId="10" borderId="16" xfId="0" applyNumberFormat="1" applyFont="1" applyFill="1" applyBorder="1" applyAlignment="1">
      <alignment vertical="center"/>
    </xf>
    <xf numFmtId="164" fontId="26" fillId="9" borderId="1" xfId="0" applyNumberFormat="1" applyFont="1" applyFill="1" applyBorder="1" applyAlignment="1">
      <alignment vertical="center"/>
    </xf>
    <xf numFmtId="172" fontId="13" fillId="3" borderId="7" xfId="2" applyNumberFormat="1" applyFont="1" applyFill="1" applyBorder="1" applyAlignment="1">
      <alignment vertical="center"/>
    </xf>
    <xf numFmtId="0" fontId="5" fillId="12" borderId="7" xfId="0" applyFont="1" applyFill="1" applyBorder="1" applyAlignment="1">
      <alignment horizontal="center" vertical="center" wrapText="1"/>
    </xf>
    <xf numFmtId="0" fontId="5" fillId="12" borderId="7" xfId="0" applyFont="1" applyFill="1" applyBorder="1" applyAlignment="1">
      <alignment horizontal="center" vertical="center"/>
    </xf>
    <xf numFmtId="0" fontId="25" fillId="2" borderId="10" xfId="0" applyFont="1" applyFill="1" applyBorder="1" applyAlignment="1">
      <alignment horizontal="center" vertical="center"/>
    </xf>
    <xf numFmtId="0" fontId="9" fillId="2" borderId="18" xfId="0" quotePrefix="1" applyFont="1" applyFill="1" applyBorder="1" applyAlignment="1">
      <alignment horizontal="left" vertical="center"/>
    </xf>
    <xf numFmtId="0" fontId="9" fillId="2" borderId="18" xfId="0" applyFont="1" applyFill="1" applyBorder="1" applyAlignment="1">
      <alignment horizontal="left" vertical="center"/>
    </xf>
    <xf numFmtId="0" fontId="21" fillId="4" borderId="0" xfId="0" applyFont="1" applyFill="1" applyAlignment="1">
      <alignment horizontal="center" vertical="center"/>
    </xf>
    <xf numFmtId="0" fontId="22" fillId="4" borderId="0" xfId="0" quotePrefix="1" applyFont="1" applyFill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0" fontId="9" fillId="2" borderId="3" xfId="0" applyFont="1" applyFill="1" applyBorder="1" applyAlignment="1">
      <alignment horizontal="left" vertical="center"/>
    </xf>
    <xf numFmtId="0" fontId="9" fillId="2" borderId="5" xfId="0" quotePrefix="1" applyFont="1" applyFill="1" applyBorder="1" applyAlignment="1">
      <alignment horizontal="left" vertical="center"/>
    </xf>
    <xf numFmtId="0" fontId="9" fillId="2" borderId="5" xfId="0" applyFont="1" applyFill="1" applyBorder="1" applyAlignment="1">
      <alignment horizontal="left" vertical="center"/>
    </xf>
    <xf numFmtId="0" fontId="12" fillId="4" borderId="0" xfId="0" applyFont="1" applyFill="1" applyAlignment="1">
      <alignment horizontal="center" vertical="center"/>
    </xf>
    <xf numFmtId="0" fontId="25" fillId="2" borderId="6" xfId="0" applyFont="1" applyFill="1" applyBorder="1" applyAlignment="1">
      <alignment horizontal="center" vertical="center"/>
    </xf>
    <xf numFmtId="0" fontId="25" fillId="2" borderId="10" xfId="0" quotePrefix="1" applyFont="1" applyFill="1" applyBorder="1" applyAlignment="1">
      <alignment horizontal="center" vertical="center"/>
    </xf>
    <xf numFmtId="0" fontId="25" fillId="2" borderId="10" xfId="0" applyFont="1" applyFill="1" applyBorder="1" applyAlignment="1">
      <alignment horizontal="center" vertical="center" textRotation="43"/>
    </xf>
    <xf numFmtId="0" fontId="25" fillId="2" borderId="6" xfId="0" applyFont="1" applyFill="1" applyBorder="1" applyAlignment="1">
      <alignment horizontal="center" vertical="center" textRotation="43"/>
    </xf>
    <xf numFmtId="0" fontId="2" fillId="9" borderId="7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34" fillId="4" borderId="0" xfId="0" applyFont="1" applyFill="1" applyAlignment="1">
      <alignment horizontal="center" vertical="center"/>
    </xf>
    <xf numFmtId="0" fontId="5" fillId="12" borderId="9" xfId="0" applyFont="1" applyFill="1" applyBorder="1" applyAlignment="1">
      <alignment horizontal="center" vertical="center" wrapText="1"/>
    </xf>
    <xf numFmtId="0" fontId="5" fillId="12" borderId="8" xfId="0" applyFont="1" applyFill="1" applyBorder="1" applyAlignment="1">
      <alignment horizontal="center" vertical="center" wrapText="1"/>
    </xf>
    <xf numFmtId="0" fontId="9" fillId="8" borderId="7" xfId="8" applyFont="1" applyFill="1" applyBorder="1" applyAlignment="1">
      <alignment horizontal="center" vertical="center" wrapText="1"/>
    </xf>
    <xf numFmtId="0" fontId="41" fillId="7" borderId="0" xfId="0" applyFont="1" applyFill="1" applyAlignment="1">
      <alignment horizontal="center"/>
    </xf>
    <xf numFmtId="0" fontId="43" fillId="17" borderId="0" xfId="0" applyFont="1" applyFill="1" applyAlignment="1">
      <alignment horizontal="center"/>
    </xf>
    <xf numFmtId="0" fontId="42" fillId="18" borderId="9" xfId="0" applyFont="1" applyFill="1" applyBorder="1" applyAlignment="1">
      <alignment horizontal="center" vertical="center"/>
    </xf>
    <xf numFmtId="0" fontId="42" fillId="18" borderId="8" xfId="0" applyFont="1" applyFill="1" applyBorder="1" applyAlignment="1">
      <alignment horizontal="center" vertical="center"/>
    </xf>
    <xf numFmtId="170" fontId="42" fillId="18" borderId="14" xfId="0" applyNumberFormat="1" applyFont="1" applyFill="1" applyBorder="1" applyAlignment="1">
      <alignment horizontal="center" vertical="center" wrapText="1"/>
    </xf>
    <xf numFmtId="170" fontId="42" fillId="18" borderId="19" xfId="0" applyNumberFormat="1" applyFont="1" applyFill="1" applyBorder="1" applyAlignment="1">
      <alignment horizontal="center" vertical="center" wrapText="1"/>
    </xf>
    <xf numFmtId="170" fontId="42" fillId="18" borderId="15" xfId="0" applyNumberFormat="1" applyFont="1" applyFill="1" applyBorder="1" applyAlignment="1">
      <alignment horizontal="center" vertical="center" wrapText="1"/>
    </xf>
    <xf numFmtId="0" fontId="44" fillId="18" borderId="9" xfId="0" applyFont="1" applyFill="1" applyBorder="1" applyAlignment="1">
      <alignment horizontal="center" vertical="center"/>
    </xf>
    <xf numFmtId="0" fontId="44" fillId="18" borderId="8" xfId="0" applyFont="1" applyFill="1" applyBorder="1" applyAlignment="1">
      <alignment horizontal="center" vertical="center"/>
    </xf>
    <xf numFmtId="0" fontId="43" fillId="20" borderId="0" xfId="0" applyFont="1" applyFill="1" applyAlignment="1">
      <alignment horizontal="center"/>
    </xf>
    <xf numFmtId="0" fontId="42" fillId="18" borderId="7" xfId="0" applyFont="1" applyFill="1" applyBorder="1" applyAlignment="1">
      <alignment horizontal="center" vertical="center"/>
    </xf>
    <xf numFmtId="0" fontId="44" fillId="18" borderId="7" xfId="0" applyFont="1" applyFill="1" applyBorder="1" applyAlignment="1">
      <alignment horizontal="center" vertical="center"/>
    </xf>
    <xf numFmtId="0" fontId="41" fillId="24" borderId="0" xfId="0" applyFont="1" applyFill="1" applyAlignment="1">
      <alignment horizontal="center"/>
    </xf>
    <xf numFmtId="0" fontId="42" fillId="18" borderId="7" xfId="0" applyFont="1" applyFill="1" applyBorder="1" applyAlignment="1">
      <alignment horizontal="center"/>
    </xf>
    <xf numFmtId="0" fontId="43" fillId="5" borderId="0" xfId="0" applyFont="1" applyFill="1" applyAlignment="1">
      <alignment horizontal="center"/>
    </xf>
    <xf numFmtId="0" fontId="47" fillId="18" borderId="7" xfId="0" applyFont="1" applyFill="1" applyBorder="1" applyAlignment="1">
      <alignment horizontal="center" vertical="center"/>
    </xf>
    <xf numFmtId="0" fontId="42" fillId="18" borderId="14" xfId="0" applyFont="1" applyFill="1" applyBorder="1" applyAlignment="1">
      <alignment horizontal="center" vertical="center"/>
    </xf>
    <xf numFmtId="0" fontId="47" fillId="18" borderId="14" xfId="0" applyFont="1" applyFill="1" applyBorder="1" applyAlignment="1">
      <alignment horizontal="center" vertical="center"/>
    </xf>
    <xf numFmtId="0" fontId="42" fillId="18" borderId="15" xfId="0" applyFont="1" applyFill="1" applyBorder="1" applyAlignment="1">
      <alignment horizontal="center" vertical="center"/>
    </xf>
    <xf numFmtId="0" fontId="47" fillId="18" borderId="15" xfId="0" applyFont="1" applyFill="1" applyBorder="1" applyAlignment="1">
      <alignment horizontal="center" vertical="center"/>
    </xf>
    <xf numFmtId="0" fontId="44" fillId="18" borderId="14" xfId="0" applyFont="1" applyFill="1" applyBorder="1" applyAlignment="1">
      <alignment horizontal="center"/>
    </xf>
    <xf numFmtId="0" fontId="44" fillId="18" borderId="19" xfId="0" applyFont="1" applyFill="1" applyBorder="1" applyAlignment="1">
      <alignment horizontal="center"/>
    </xf>
    <xf numFmtId="0" fontId="44" fillId="18" borderId="15" xfId="0" applyFont="1" applyFill="1" applyBorder="1" applyAlignment="1">
      <alignment horizontal="center"/>
    </xf>
    <xf numFmtId="0" fontId="3" fillId="12" borderId="7" xfId="0" applyFont="1" applyFill="1" applyBorder="1" applyAlignment="1">
      <alignment vertical="center"/>
    </xf>
    <xf numFmtId="0" fontId="3" fillId="9" borderId="7" xfId="0" applyFont="1" applyFill="1" applyBorder="1" applyAlignment="1">
      <alignment vertical="center"/>
    </xf>
    <xf numFmtId="0" fontId="3" fillId="13" borderId="7" xfId="0" applyFont="1" applyFill="1" applyBorder="1" applyAlignment="1">
      <alignment vertical="center"/>
    </xf>
    <xf numFmtId="172" fontId="3" fillId="13" borderId="7" xfId="0" applyNumberFormat="1" applyFont="1" applyFill="1" applyBorder="1" applyAlignment="1">
      <alignment vertical="center"/>
    </xf>
    <xf numFmtId="172" fontId="3" fillId="9" borderId="7" xfId="0" applyNumberFormat="1" applyFont="1" applyFill="1" applyBorder="1" applyAlignment="1">
      <alignment vertical="center"/>
    </xf>
    <xf numFmtId="174" fontId="3" fillId="9" borderId="7" xfId="12" applyNumberFormat="1" applyFont="1" applyFill="1" applyBorder="1" applyAlignment="1">
      <alignment vertical="center"/>
    </xf>
    <xf numFmtId="172" fontId="19" fillId="3" borderId="7" xfId="9" applyNumberFormat="1" applyFont="1" applyFill="1" applyBorder="1" applyAlignment="1">
      <alignment vertical="center"/>
    </xf>
    <xf numFmtId="9" fontId="26" fillId="2" borderId="7" xfId="12" applyFont="1" applyFill="1" applyBorder="1" applyAlignment="1">
      <alignment vertical="center"/>
    </xf>
    <xf numFmtId="172" fontId="26" fillId="23" borderId="7" xfId="0" applyNumberFormat="1" applyFont="1" applyFill="1" applyBorder="1" applyAlignment="1">
      <alignment vertical="center"/>
    </xf>
    <xf numFmtId="172" fontId="26" fillId="19" borderId="7" xfId="1" quotePrefix="1" applyNumberFormat="1" applyFont="1" applyFill="1" applyBorder="1" applyAlignment="1">
      <alignment horizontal="right" vertical="center" indent="1"/>
    </xf>
    <xf numFmtId="172" fontId="26" fillId="19" borderId="7" xfId="12" applyNumberFormat="1" applyFont="1" applyFill="1" applyBorder="1" applyAlignment="1">
      <alignment horizontal="right" vertical="center" indent="1"/>
    </xf>
    <xf numFmtId="172" fontId="26" fillId="19" borderId="7" xfId="1" applyNumberFormat="1" applyFont="1" applyFill="1" applyBorder="1" applyAlignment="1">
      <alignment vertical="center"/>
    </xf>
    <xf numFmtId="177" fontId="26" fillId="23" borderId="7" xfId="10" applyNumberFormat="1" applyFont="1" applyFill="1" applyBorder="1" applyAlignment="1">
      <alignment horizontal="center"/>
    </xf>
    <xf numFmtId="177" fontId="26" fillId="23" borderId="7" xfId="0" applyNumberFormat="1" applyFont="1" applyFill="1" applyBorder="1" applyAlignment="1">
      <alignment horizontal="center"/>
    </xf>
    <xf numFmtId="178" fontId="26" fillId="4" borderId="8" xfId="12" applyNumberFormat="1" applyFont="1" applyFill="1" applyBorder="1" applyAlignment="1">
      <alignment vertical="center"/>
    </xf>
    <xf numFmtId="177" fontId="26" fillId="4" borderId="8" xfId="10" applyNumberFormat="1" applyFont="1" applyFill="1" applyBorder="1" applyAlignment="1">
      <alignment vertical="center"/>
    </xf>
  </cellXfs>
  <cellStyles count="13">
    <cellStyle name="Comma" xfId="1" builtinId="3"/>
    <cellStyle name="Comma [0]" xfId="10" builtinId="6"/>
    <cellStyle name="Comma [0] 13" xfId="7" xr:uid="{00000000-0005-0000-0000-000002000000}"/>
    <cellStyle name="Comma [0] 17" xfId="9" xr:uid="{00000000-0005-0000-0000-000003000000}"/>
    <cellStyle name="Currency" xfId="2" builtinId="4"/>
    <cellStyle name="Normal" xfId="0" builtinId="0"/>
    <cellStyle name="Normal 12" xfId="5" xr:uid="{00000000-0005-0000-0000-000006000000}"/>
    <cellStyle name="Normal 13" xfId="6" xr:uid="{00000000-0005-0000-0000-000007000000}"/>
    <cellStyle name="Normal 17" xfId="8" xr:uid="{00000000-0005-0000-0000-000008000000}"/>
    <cellStyle name="Normal 4" xfId="3" xr:uid="{00000000-0005-0000-0000-000009000000}"/>
    <cellStyle name="Normal 5" xfId="4" xr:uid="{00000000-0005-0000-0000-00000A000000}"/>
    <cellStyle name="Normal_lookup" xfId="11" xr:uid="{00000000-0005-0000-0000-00000B000000}"/>
    <cellStyle name="Percent" xfId="1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'Latihan 1-2'!$E$4:$E$5</c:f>
              <c:strCache>
                <c:ptCount val="2"/>
                <c:pt idx="0">
                  <c:v>Jumlah Peserta</c:v>
                </c:pt>
                <c:pt idx="1">
                  <c:v>Laki-laki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'Latihan 1-2'!$C$6:$D$10</c:f>
              <c:multiLvlStrCache>
                <c:ptCount val="5"/>
                <c:lvl>
                  <c:pt idx="0">
                    <c:v>Senin, 07.00 - 09.00</c:v>
                  </c:pt>
                  <c:pt idx="1">
                    <c:v>Selasa, 11.00 - 13.00</c:v>
                  </c:pt>
                  <c:pt idx="2">
                    <c:v>Senin, 09.00 - 11.00</c:v>
                  </c:pt>
                  <c:pt idx="3">
                    <c:v>Rabu, 07.00 - 09.00</c:v>
                  </c:pt>
                  <c:pt idx="4">
                    <c:v>Rabu, 09.00 - 11.00</c:v>
                  </c:pt>
                </c:lvl>
                <c:lvl>
                  <c:pt idx="0">
                    <c:v>A1</c:v>
                  </c:pt>
                  <c:pt idx="1">
                    <c:v>A2</c:v>
                  </c:pt>
                  <c:pt idx="2">
                    <c:v>B1</c:v>
                  </c:pt>
                  <c:pt idx="3">
                    <c:v>B2</c:v>
                  </c:pt>
                  <c:pt idx="4">
                    <c:v>C1</c:v>
                  </c:pt>
                </c:lvl>
              </c:multiLvlStrCache>
            </c:multiLvlStrRef>
          </c:cat>
          <c:val>
            <c:numRef>
              <c:f>'Latihan 1-2'!$E$6:$E$10</c:f>
              <c:numCache>
                <c:formatCode>General</c:formatCode>
                <c:ptCount val="5"/>
                <c:pt idx="0">
                  <c:v>12</c:v>
                </c:pt>
                <c:pt idx="1">
                  <c:v>11</c:v>
                </c:pt>
                <c:pt idx="2">
                  <c:v>14</c:v>
                </c:pt>
                <c:pt idx="3">
                  <c:v>10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68-4CE2-AD2C-0B696F20C001}"/>
            </c:ext>
          </c:extLst>
        </c:ser>
        <c:ser>
          <c:idx val="1"/>
          <c:order val="1"/>
          <c:tx>
            <c:strRef>
              <c:f>'Latihan 1-2'!$F$4:$F$5</c:f>
              <c:strCache>
                <c:ptCount val="2"/>
                <c:pt idx="0">
                  <c:v>Jumlah Peserta</c:v>
                </c:pt>
                <c:pt idx="1">
                  <c:v>Perempuan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'Latihan 1-2'!$C$6:$D$10</c:f>
              <c:multiLvlStrCache>
                <c:ptCount val="5"/>
                <c:lvl>
                  <c:pt idx="0">
                    <c:v>Senin, 07.00 - 09.00</c:v>
                  </c:pt>
                  <c:pt idx="1">
                    <c:v>Selasa, 11.00 - 13.00</c:v>
                  </c:pt>
                  <c:pt idx="2">
                    <c:v>Senin, 09.00 - 11.00</c:v>
                  </c:pt>
                  <c:pt idx="3">
                    <c:v>Rabu, 07.00 - 09.00</c:v>
                  </c:pt>
                  <c:pt idx="4">
                    <c:v>Rabu, 09.00 - 11.00</c:v>
                  </c:pt>
                </c:lvl>
                <c:lvl>
                  <c:pt idx="0">
                    <c:v>A1</c:v>
                  </c:pt>
                  <c:pt idx="1">
                    <c:v>A2</c:v>
                  </c:pt>
                  <c:pt idx="2">
                    <c:v>B1</c:v>
                  </c:pt>
                  <c:pt idx="3">
                    <c:v>B2</c:v>
                  </c:pt>
                  <c:pt idx="4">
                    <c:v>C1</c:v>
                  </c:pt>
                </c:lvl>
              </c:multiLvlStrCache>
            </c:multiLvlStrRef>
          </c:cat>
          <c:val>
            <c:numRef>
              <c:f>'Latihan 1-2'!$F$6:$F$10</c:f>
              <c:numCache>
                <c:formatCode>General</c:formatCode>
                <c:ptCount val="5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15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68-4CE2-AD2C-0B696F20C001}"/>
            </c:ext>
          </c:extLst>
        </c:ser>
        <c:ser>
          <c:idx val="2"/>
          <c:order val="2"/>
          <c:tx>
            <c:strRef>
              <c:f>'Latihan 1-2'!$G$4:$G$5</c:f>
              <c:strCache>
                <c:ptCount val="2"/>
                <c:pt idx="0">
                  <c:v>Jumlah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'Latihan 1-2'!$C$6:$D$10</c:f>
              <c:multiLvlStrCache>
                <c:ptCount val="5"/>
                <c:lvl>
                  <c:pt idx="0">
                    <c:v>Senin, 07.00 - 09.00</c:v>
                  </c:pt>
                  <c:pt idx="1">
                    <c:v>Selasa, 11.00 - 13.00</c:v>
                  </c:pt>
                  <c:pt idx="2">
                    <c:v>Senin, 09.00 - 11.00</c:v>
                  </c:pt>
                  <c:pt idx="3">
                    <c:v>Rabu, 07.00 - 09.00</c:v>
                  </c:pt>
                  <c:pt idx="4">
                    <c:v>Rabu, 09.00 - 11.00</c:v>
                  </c:pt>
                </c:lvl>
                <c:lvl>
                  <c:pt idx="0">
                    <c:v>A1</c:v>
                  </c:pt>
                  <c:pt idx="1">
                    <c:v>A2</c:v>
                  </c:pt>
                  <c:pt idx="2">
                    <c:v>B1</c:v>
                  </c:pt>
                  <c:pt idx="3">
                    <c:v>B2</c:v>
                  </c:pt>
                  <c:pt idx="4">
                    <c:v>C1</c:v>
                  </c:pt>
                </c:lvl>
              </c:multiLvlStrCache>
            </c:multiLvlStrRef>
          </c:cat>
          <c:val>
            <c:numRef>
              <c:f>'Latihan 1-2'!$G$6:$G$10</c:f>
              <c:numCache>
                <c:formatCode>General</c:formatCode>
                <c:ptCount val="5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68-4CE2-AD2C-0B696F20C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2396576"/>
        <c:axId val="708599856"/>
      </c:barChart>
      <c:catAx>
        <c:axId val="87239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599856"/>
        <c:crosses val="autoZero"/>
        <c:auto val="1"/>
        <c:lblAlgn val="ctr"/>
        <c:lblOffset val="100"/>
        <c:noMultiLvlLbl val="0"/>
      </c:catAx>
      <c:valAx>
        <c:axId val="70859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39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DISRIBUSI GAI POKOK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90C-4E77-91A2-D10471DD442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I</c:v>
              </c:pt>
              <c:pt idx="1">
                <c:v>II</c:v>
              </c:pt>
              <c:pt idx="2">
                <c:v>III</c:v>
              </c:pt>
              <c:pt idx="3">
                <c:v>IV</c:v>
              </c:pt>
            </c:strLit>
          </c:cat>
          <c:val>
            <c:numLit>
              <c:formatCode>General</c:formatCode>
              <c:ptCount val="4"/>
              <c:pt idx="0">
                <c:v>4050000</c:v>
              </c:pt>
              <c:pt idx="1">
                <c:v>8600000</c:v>
              </c:pt>
              <c:pt idx="2">
                <c:v>12250000</c:v>
              </c:pt>
              <c:pt idx="3">
                <c:v>12400000</c:v>
              </c:pt>
            </c:numLit>
          </c:val>
          <c:extLst>
            <c:ext xmlns:c16="http://schemas.microsoft.com/office/drawing/2014/chart" uri="{C3380CC4-5D6E-409C-BE32-E72D297353CC}">
              <c16:uniqueId val="{00000000-290C-4E77-91A2-D10471DD4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soal 4 Ganjil'!A1"/><Relationship Id="rId2" Type="http://schemas.openxmlformats.org/officeDocument/2006/relationships/hyperlink" Target="#'soal 2 Ganjil'!A1"/><Relationship Id="rId1" Type="http://schemas.openxmlformats.org/officeDocument/2006/relationships/hyperlink" Target="#'soal 1 Ganjil'!A1"/><Relationship Id="rId5" Type="http://schemas.openxmlformats.org/officeDocument/2006/relationships/chart" Target="../charts/chart2.xml"/><Relationship Id="rId4" Type="http://schemas.openxmlformats.org/officeDocument/2006/relationships/hyperlink" Target="#identita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601980</xdr:colOff>
      <xdr:row>2</xdr:row>
      <xdr:rowOff>72390</xdr:rowOff>
    </xdr:from>
    <xdr:to>
      <xdr:col>15</xdr:col>
      <xdr:colOff>297180</xdr:colOff>
      <xdr:row>14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001922-CCF3-1D10-C1F8-C7A5FDAF81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1095375</xdr:colOff>
      <xdr:row>65</xdr:row>
      <xdr:rowOff>38100</xdr:rowOff>
    </xdr:from>
    <xdr:to>
      <xdr:col>11</xdr:col>
      <xdr:colOff>361951</xdr:colOff>
      <xdr:row>67</xdr:row>
      <xdr:rowOff>66674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11458575" y="13954125"/>
          <a:ext cx="542926" cy="409574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/>
            <a:t>soal</a:t>
          </a:r>
        </a:p>
        <a:p>
          <a:pPr algn="ctr"/>
          <a:r>
            <a:rPr lang="en-US" sz="1400" b="1"/>
            <a:t>1</a:t>
          </a:r>
        </a:p>
      </xdr:txBody>
    </xdr:sp>
    <xdr:clientData/>
  </xdr:twoCellAnchor>
  <xdr:twoCellAnchor>
    <xdr:from>
      <xdr:col>11</xdr:col>
      <xdr:colOff>428625</xdr:colOff>
      <xdr:row>65</xdr:row>
      <xdr:rowOff>38100</xdr:rowOff>
    </xdr:from>
    <xdr:to>
      <xdr:col>11</xdr:col>
      <xdr:colOff>971551</xdr:colOff>
      <xdr:row>67</xdr:row>
      <xdr:rowOff>66674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12068175" y="13954125"/>
          <a:ext cx="542926" cy="409574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/>
            <a:t>soal</a:t>
          </a:r>
        </a:p>
        <a:p>
          <a:pPr algn="ctr"/>
          <a:r>
            <a:rPr lang="en-US" sz="1400" b="1"/>
            <a:t>2</a:t>
          </a:r>
        </a:p>
      </xdr:txBody>
    </xdr:sp>
    <xdr:clientData/>
  </xdr:twoCellAnchor>
  <xdr:twoCellAnchor>
    <xdr:from>
      <xdr:col>11</xdr:col>
      <xdr:colOff>1047750</xdr:colOff>
      <xdr:row>65</xdr:row>
      <xdr:rowOff>38100</xdr:rowOff>
    </xdr:from>
    <xdr:to>
      <xdr:col>12</xdr:col>
      <xdr:colOff>314326</xdr:colOff>
      <xdr:row>67</xdr:row>
      <xdr:rowOff>66674</xdr:rowOff>
    </xdr:to>
    <xdr:sp macro="" textlink="">
      <xdr:nvSpPr>
        <xdr:cNvPr id="4" name="Rounded 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12687300" y="13954125"/>
          <a:ext cx="542926" cy="409574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/>
            <a:t>soal</a:t>
          </a:r>
        </a:p>
        <a:p>
          <a:pPr algn="ctr"/>
          <a:r>
            <a:rPr lang="en-US" sz="1400" b="1"/>
            <a:t>4</a:t>
          </a:r>
        </a:p>
      </xdr:txBody>
    </xdr:sp>
    <xdr:clientData/>
  </xdr:twoCellAnchor>
  <xdr:twoCellAnchor>
    <xdr:from>
      <xdr:col>10</xdr:col>
      <xdr:colOff>485775</xdr:colOff>
      <xdr:row>65</xdr:row>
      <xdr:rowOff>38100</xdr:rowOff>
    </xdr:from>
    <xdr:to>
      <xdr:col>10</xdr:col>
      <xdr:colOff>1028701</xdr:colOff>
      <xdr:row>67</xdr:row>
      <xdr:rowOff>66674</xdr:rowOff>
    </xdr:to>
    <xdr:sp macro="" textlink="">
      <xdr:nvSpPr>
        <xdr:cNvPr id="5" name="Rounded 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0848975" y="13954125"/>
          <a:ext cx="542926" cy="409574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/>
            <a:t>awal</a:t>
          </a:r>
          <a:endParaRPr lang="en-US" sz="1400" b="1"/>
        </a:p>
      </xdr:txBody>
    </xdr:sp>
    <xdr:clientData/>
  </xdr:twoCellAnchor>
  <xdr:twoCellAnchor>
    <xdr:from>
      <xdr:col>7</xdr:col>
      <xdr:colOff>816428</xdr:colOff>
      <xdr:row>45</xdr:row>
      <xdr:rowOff>54429</xdr:rowOff>
    </xdr:from>
    <xdr:to>
      <xdr:col>12</xdr:col>
      <xdr:colOff>511629</xdr:colOff>
      <xdr:row>63</xdr:row>
      <xdr:rowOff>141514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A7D371B-AC44-5384-B5D2-A0981CDA5D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2:P77"/>
  <sheetViews>
    <sheetView showGridLines="0" topLeftCell="A60" workbookViewId="0">
      <selection activeCell="I42" sqref="I42"/>
    </sheetView>
  </sheetViews>
  <sheetFormatPr defaultColWidth="9.109375" defaultRowHeight="14.4" x14ac:dyDescent="0.3"/>
  <cols>
    <col min="1" max="1" width="4" style="43" customWidth="1"/>
    <col min="2" max="2" width="16.6640625" style="43" customWidth="1"/>
    <col min="3" max="4" width="9.109375" style="43"/>
    <col min="5" max="5" width="11.5546875" style="43" customWidth="1"/>
    <col min="6" max="6" width="12.109375" style="43" customWidth="1"/>
    <col min="7" max="8" width="9.109375" style="43"/>
    <col min="9" max="9" width="15.5546875" style="43" customWidth="1"/>
    <col min="10" max="12" width="9.109375" style="43"/>
    <col min="13" max="13" width="11.44140625" style="43" customWidth="1"/>
    <col min="14" max="16384" width="9.109375" style="43"/>
  </cols>
  <sheetData>
    <row r="2" spans="2:13" ht="24.9" customHeight="1" x14ac:dyDescent="0.3">
      <c r="B2" s="114" t="s">
        <v>212</v>
      </c>
      <c r="C2" s="112"/>
      <c r="D2" s="112"/>
      <c r="E2" s="112"/>
      <c r="F2" s="112"/>
      <c r="G2" s="112"/>
      <c r="H2" s="112"/>
      <c r="I2" s="112"/>
      <c r="J2" s="112"/>
      <c r="K2" s="112"/>
      <c r="L2" s="111"/>
      <c r="M2" s="111"/>
    </row>
    <row r="3" spans="2:13" ht="24.9" customHeight="1" x14ac:dyDescent="0.3">
      <c r="B3" s="112" t="s">
        <v>273</v>
      </c>
      <c r="C3" s="112"/>
      <c r="D3" s="112"/>
      <c r="E3" s="112"/>
      <c r="F3" s="112"/>
      <c r="G3" s="112"/>
      <c r="H3" s="112"/>
      <c r="I3" s="112"/>
      <c r="J3" s="112"/>
      <c r="K3" s="112"/>
      <c r="L3" s="111"/>
      <c r="M3" s="111"/>
    </row>
    <row r="4" spans="2:13" ht="24.9" customHeight="1" x14ac:dyDescent="0.3">
      <c r="B4" s="112" t="s">
        <v>274</v>
      </c>
      <c r="C4" s="112"/>
      <c r="D4" s="112"/>
      <c r="E4" s="112"/>
      <c r="F4" s="112"/>
      <c r="G4" s="112"/>
      <c r="H4" s="112"/>
      <c r="I4" s="112"/>
      <c r="J4" s="112"/>
      <c r="K4" s="112"/>
      <c r="L4" s="111"/>
      <c r="M4" s="111"/>
    </row>
    <row r="5" spans="2:13" ht="18" x14ac:dyDescent="0.3">
      <c r="B5" s="112" t="s">
        <v>275</v>
      </c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</row>
    <row r="6" spans="2:13" ht="18" x14ac:dyDescent="0.3">
      <c r="B6" s="137" t="s">
        <v>276</v>
      </c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1"/>
    </row>
    <row r="7" spans="2:13" ht="18" x14ac:dyDescent="0.3">
      <c r="B7" s="112" t="s">
        <v>277</v>
      </c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</row>
    <row r="8" spans="2:13" ht="18" x14ac:dyDescent="0.3">
      <c r="B8" s="137" t="s">
        <v>272</v>
      </c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</row>
    <row r="9" spans="2:13" ht="28.8" x14ac:dyDescent="0.3">
      <c r="B9" s="42"/>
    </row>
    <row r="11" spans="2:13" ht="20.100000000000001" customHeight="1" thickBot="1" x14ac:dyDescent="0.35">
      <c r="B11" s="44" t="s">
        <v>1</v>
      </c>
      <c r="G11" s="44" t="s">
        <v>5</v>
      </c>
    </row>
    <row r="12" spans="2:13" ht="20.100000000000001" customHeight="1" thickBot="1" x14ac:dyDescent="0.35">
      <c r="B12" s="45" t="s">
        <v>2</v>
      </c>
      <c r="C12" s="45" t="s">
        <v>3</v>
      </c>
      <c r="D12" s="45" t="s">
        <v>4</v>
      </c>
      <c r="G12" s="46" t="s">
        <v>3</v>
      </c>
      <c r="H12" s="46" t="s">
        <v>7</v>
      </c>
      <c r="J12" s="44"/>
      <c r="K12" s="47" t="s">
        <v>6</v>
      </c>
      <c r="L12" s="48">
        <v>15</v>
      </c>
    </row>
    <row r="13" spans="2:13" ht="24.9" customHeight="1" thickBot="1" x14ac:dyDescent="0.35">
      <c r="B13" s="49">
        <v>5</v>
      </c>
      <c r="C13" s="49">
        <v>10</v>
      </c>
      <c r="D13" s="50">
        <f>B13*C13</f>
        <v>50</v>
      </c>
      <c r="G13" s="49">
        <v>20</v>
      </c>
      <c r="H13" s="51">
        <f>$L$12*G13</f>
        <v>300</v>
      </c>
    </row>
    <row r="14" spans="2:13" ht="24.9" customHeight="1" thickBot="1" x14ac:dyDescent="0.35">
      <c r="B14" s="49">
        <v>5</v>
      </c>
      <c r="C14" s="49">
        <v>15</v>
      </c>
      <c r="D14" s="50">
        <f t="shared" ref="D14:D26" si="0">B14*C14</f>
        <v>75</v>
      </c>
      <c r="G14" s="49">
        <v>25</v>
      </c>
      <c r="H14" s="51">
        <f t="shared" ref="H14:H26" si="1">$L$12*G14</f>
        <v>375</v>
      </c>
    </row>
    <row r="15" spans="2:13" ht="24.9" customHeight="1" thickBot="1" x14ac:dyDescent="0.35">
      <c r="B15" s="49">
        <v>6</v>
      </c>
      <c r="C15" s="49">
        <v>14</v>
      </c>
      <c r="D15" s="50">
        <f t="shared" si="0"/>
        <v>84</v>
      </c>
      <c r="G15" s="49">
        <v>65</v>
      </c>
      <c r="H15" s="51">
        <f t="shared" si="1"/>
        <v>975</v>
      </c>
    </row>
    <row r="16" spans="2:13" ht="24.9" customHeight="1" thickBot="1" x14ac:dyDescent="0.35">
      <c r="B16" s="49">
        <v>7</v>
      </c>
      <c r="C16" s="49">
        <v>18</v>
      </c>
      <c r="D16" s="50">
        <f t="shared" si="0"/>
        <v>126</v>
      </c>
      <c r="G16" s="49">
        <v>45</v>
      </c>
      <c r="H16" s="51">
        <f t="shared" si="1"/>
        <v>675</v>
      </c>
    </row>
    <row r="17" spans="2:16" ht="24.9" customHeight="1" thickBot="1" x14ac:dyDescent="0.35">
      <c r="B17" s="49">
        <v>8</v>
      </c>
      <c r="C17" s="49">
        <v>25</v>
      </c>
      <c r="D17" s="50">
        <f t="shared" si="0"/>
        <v>200</v>
      </c>
      <c r="G17" s="49">
        <v>21</v>
      </c>
      <c r="H17" s="51">
        <f t="shared" si="1"/>
        <v>315</v>
      </c>
    </row>
    <row r="18" spans="2:16" ht="24.9" customHeight="1" thickBot="1" x14ac:dyDescent="0.35">
      <c r="B18" s="49">
        <v>9</v>
      </c>
      <c r="C18" s="49">
        <v>35</v>
      </c>
      <c r="D18" s="50">
        <f t="shared" si="0"/>
        <v>315</v>
      </c>
      <c r="G18" s="49">
        <v>25</v>
      </c>
      <c r="H18" s="51">
        <f t="shared" si="1"/>
        <v>375</v>
      </c>
    </row>
    <row r="19" spans="2:16" ht="24.9" customHeight="1" thickBot="1" x14ac:dyDescent="0.35">
      <c r="B19" s="49">
        <v>8</v>
      </c>
      <c r="C19" s="49">
        <v>45</v>
      </c>
      <c r="D19" s="50">
        <f t="shared" si="0"/>
        <v>360</v>
      </c>
      <c r="G19" s="49">
        <v>85</v>
      </c>
      <c r="H19" s="51">
        <f t="shared" si="1"/>
        <v>1275</v>
      </c>
    </row>
    <row r="20" spans="2:16" ht="24.9" customHeight="1" thickBot="1" x14ac:dyDescent="0.35">
      <c r="B20" s="49">
        <v>9</v>
      </c>
      <c r="C20" s="49">
        <v>55</v>
      </c>
      <c r="D20" s="50">
        <f t="shared" si="0"/>
        <v>495</v>
      </c>
      <c r="G20" s="49">
        <v>65</v>
      </c>
      <c r="H20" s="51">
        <f t="shared" si="1"/>
        <v>975</v>
      </c>
    </row>
    <row r="21" spans="2:16" ht="24.9" customHeight="1" thickBot="1" x14ac:dyDescent="0.35">
      <c r="B21" s="49">
        <v>8</v>
      </c>
      <c r="C21" s="49">
        <v>50</v>
      </c>
      <c r="D21" s="50">
        <f t="shared" si="0"/>
        <v>400</v>
      </c>
      <c r="G21" s="49">
        <v>12</v>
      </c>
      <c r="H21" s="51">
        <f t="shared" si="1"/>
        <v>180</v>
      </c>
    </row>
    <row r="22" spans="2:16" ht="24.9" customHeight="1" thickBot="1" x14ac:dyDescent="0.35">
      <c r="B22" s="49">
        <v>7</v>
      </c>
      <c r="C22" s="49">
        <v>40</v>
      </c>
      <c r="D22" s="50">
        <f t="shared" si="0"/>
        <v>280</v>
      </c>
      <c r="G22" s="49">
        <v>15</v>
      </c>
      <c r="H22" s="51">
        <f t="shared" si="1"/>
        <v>225</v>
      </c>
    </row>
    <row r="23" spans="2:16" ht="24.9" customHeight="1" thickBot="1" x14ac:dyDescent="0.35">
      <c r="B23" s="49">
        <v>4</v>
      </c>
      <c r="C23" s="49">
        <v>30</v>
      </c>
      <c r="D23" s="50">
        <f t="shared" si="0"/>
        <v>120</v>
      </c>
      <c r="G23" s="49">
        <v>13</v>
      </c>
      <c r="H23" s="51">
        <f t="shared" si="1"/>
        <v>195</v>
      </c>
    </row>
    <row r="24" spans="2:16" ht="24.9" customHeight="1" thickBot="1" x14ac:dyDescent="0.35">
      <c r="B24" s="49">
        <v>5</v>
      </c>
      <c r="C24" s="49">
        <v>20</v>
      </c>
      <c r="D24" s="50">
        <f t="shared" si="0"/>
        <v>100</v>
      </c>
      <c r="G24" s="49">
        <v>14</v>
      </c>
      <c r="H24" s="51">
        <f t="shared" si="1"/>
        <v>210</v>
      </c>
    </row>
    <row r="25" spans="2:16" ht="24.9" customHeight="1" thickBot="1" x14ac:dyDescent="0.35">
      <c r="B25" s="49">
        <v>6</v>
      </c>
      <c r="C25" s="49">
        <v>25</v>
      </c>
      <c r="D25" s="50">
        <f t="shared" si="0"/>
        <v>150</v>
      </c>
      <c r="G25" s="49">
        <v>18</v>
      </c>
      <c r="H25" s="51">
        <f t="shared" si="1"/>
        <v>270</v>
      </c>
    </row>
    <row r="26" spans="2:16" ht="24.9" customHeight="1" thickBot="1" x14ac:dyDescent="0.35">
      <c r="B26" s="49">
        <v>3</v>
      </c>
      <c r="C26" s="49">
        <v>22</v>
      </c>
      <c r="D26" s="50">
        <f t="shared" si="0"/>
        <v>66</v>
      </c>
      <c r="G26" s="49">
        <v>19</v>
      </c>
      <c r="H26" s="51">
        <f t="shared" si="1"/>
        <v>285</v>
      </c>
    </row>
    <row r="27" spans="2:16" ht="20.100000000000001" customHeight="1" x14ac:dyDescent="0.3"/>
    <row r="28" spans="2:16" ht="20.100000000000001" customHeight="1" x14ac:dyDescent="0.3"/>
    <row r="29" spans="2:16" ht="20.100000000000001" customHeight="1" thickBot="1" x14ac:dyDescent="0.35">
      <c r="B29" s="44" t="s">
        <v>1</v>
      </c>
    </row>
    <row r="30" spans="2:16" ht="20.100000000000001" customHeight="1" thickBot="1" x14ac:dyDescent="0.35">
      <c r="B30" s="45" t="s">
        <v>2</v>
      </c>
      <c r="C30" s="49">
        <v>5</v>
      </c>
      <c r="D30" s="49">
        <v>5</v>
      </c>
      <c r="E30" s="49">
        <v>6</v>
      </c>
      <c r="F30" s="49">
        <v>7</v>
      </c>
      <c r="G30" s="49">
        <v>8</v>
      </c>
      <c r="H30" s="49">
        <v>9</v>
      </c>
      <c r="I30" s="49">
        <v>8</v>
      </c>
      <c r="J30" s="49">
        <v>9</v>
      </c>
      <c r="K30" s="49">
        <v>8</v>
      </c>
      <c r="L30" s="49">
        <v>7</v>
      </c>
      <c r="M30" s="49">
        <v>4</v>
      </c>
      <c r="N30" s="49">
        <v>5</v>
      </c>
      <c r="O30" s="49">
        <v>6</v>
      </c>
      <c r="P30" s="49">
        <v>3</v>
      </c>
    </row>
    <row r="31" spans="2:16" ht="20.100000000000001" customHeight="1" thickBot="1" x14ac:dyDescent="0.35">
      <c r="B31" s="45" t="s">
        <v>3</v>
      </c>
      <c r="C31" s="49">
        <v>10</v>
      </c>
      <c r="D31" s="49">
        <v>15</v>
      </c>
      <c r="E31" s="49">
        <v>14</v>
      </c>
      <c r="F31" s="49">
        <v>18</v>
      </c>
      <c r="G31" s="49">
        <v>25</v>
      </c>
      <c r="H31" s="49">
        <v>35</v>
      </c>
      <c r="I31" s="49">
        <v>45</v>
      </c>
      <c r="J31" s="49">
        <v>55</v>
      </c>
      <c r="K31" s="49">
        <v>50</v>
      </c>
      <c r="L31" s="49">
        <v>40</v>
      </c>
      <c r="M31" s="49">
        <v>30</v>
      </c>
      <c r="N31" s="49">
        <v>20</v>
      </c>
      <c r="O31" s="49">
        <v>25</v>
      </c>
      <c r="P31" s="49">
        <v>22</v>
      </c>
    </row>
    <row r="32" spans="2:16" ht="24.9" customHeight="1" thickBot="1" x14ac:dyDescent="0.35">
      <c r="B32" s="45" t="s">
        <v>4</v>
      </c>
      <c r="C32" s="50">
        <f>C30*C31</f>
        <v>50</v>
      </c>
      <c r="D32" s="50">
        <f t="shared" ref="D32:P32" si="2">D30*D31</f>
        <v>75</v>
      </c>
      <c r="E32" s="50">
        <f t="shared" si="2"/>
        <v>84</v>
      </c>
      <c r="F32" s="50">
        <f t="shared" si="2"/>
        <v>126</v>
      </c>
      <c r="G32" s="50">
        <f t="shared" si="2"/>
        <v>200</v>
      </c>
      <c r="H32" s="50">
        <f t="shared" si="2"/>
        <v>315</v>
      </c>
      <c r="I32" s="50">
        <f t="shared" si="2"/>
        <v>360</v>
      </c>
      <c r="J32" s="50">
        <f t="shared" si="2"/>
        <v>495</v>
      </c>
      <c r="K32" s="50">
        <f t="shared" si="2"/>
        <v>400</v>
      </c>
      <c r="L32" s="50">
        <f t="shared" si="2"/>
        <v>280</v>
      </c>
      <c r="M32" s="50">
        <f t="shared" si="2"/>
        <v>120</v>
      </c>
      <c r="N32" s="50">
        <f t="shared" si="2"/>
        <v>100</v>
      </c>
      <c r="O32" s="50">
        <f t="shared" si="2"/>
        <v>150</v>
      </c>
      <c r="P32" s="50">
        <f t="shared" si="2"/>
        <v>66</v>
      </c>
    </row>
    <row r="33" spans="2:16" ht="20.100000000000001" customHeight="1" x14ac:dyDescent="0.3"/>
    <row r="34" spans="2:16" ht="20.100000000000001" customHeight="1" x14ac:dyDescent="0.3"/>
    <row r="35" spans="2:16" ht="20.100000000000001" customHeight="1" thickBot="1" x14ac:dyDescent="0.35">
      <c r="B35" s="44" t="s">
        <v>5</v>
      </c>
      <c r="F35" s="44"/>
      <c r="G35" s="47" t="s">
        <v>6</v>
      </c>
      <c r="H35" s="48">
        <v>15</v>
      </c>
    </row>
    <row r="36" spans="2:16" ht="20.100000000000001" customHeight="1" thickBot="1" x14ac:dyDescent="0.35">
      <c r="B36" s="46" t="s">
        <v>3</v>
      </c>
      <c r="C36" s="49">
        <v>20</v>
      </c>
      <c r="D36" s="49">
        <v>25</v>
      </c>
      <c r="E36" s="49">
        <v>65</v>
      </c>
      <c r="F36" s="49">
        <v>45</v>
      </c>
      <c r="G36" s="49">
        <v>21</v>
      </c>
      <c r="H36" s="49">
        <v>25</v>
      </c>
      <c r="I36" s="49">
        <v>85</v>
      </c>
      <c r="J36" s="49">
        <v>65</v>
      </c>
      <c r="K36" s="49">
        <v>12</v>
      </c>
      <c r="L36" s="49">
        <v>15</v>
      </c>
      <c r="M36" s="49">
        <v>13</v>
      </c>
      <c r="N36" s="49">
        <v>14</v>
      </c>
      <c r="O36" s="49">
        <v>18</v>
      </c>
      <c r="P36" s="49">
        <v>19</v>
      </c>
    </row>
    <row r="37" spans="2:16" ht="24.9" customHeight="1" thickBot="1" x14ac:dyDescent="0.35">
      <c r="B37" s="46" t="s">
        <v>7</v>
      </c>
      <c r="C37" s="51">
        <f>15*C36</f>
        <v>300</v>
      </c>
      <c r="D37" s="51">
        <f t="shared" ref="D37:P37" si="3">15*D36</f>
        <v>375</v>
      </c>
      <c r="E37" s="51">
        <f t="shared" si="3"/>
        <v>975</v>
      </c>
      <c r="F37" s="51">
        <f t="shared" si="3"/>
        <v>675</v>
      </c>
      <c r="G37" s="51">
        <f t="shared" si="3"/>
        <v>315</v>
      </c>
      <c r="H37" s="51">
        <f t="shared" si="3"/>
        <v>375</v>
      </c>
      <c r="I37" s="51">
        <f t="shared" si="3"/>
        <v>1275</v>
      </c>
      <c r="J37" s="51">
        <f t="shared" si="3"/>
        <v>975</v>
      </c>
      <c r="K37" s="51">
        <f t="shared" si="3"/>
        <v>180</v>
      </c>
      <c r="L37" s="51">
        <f t="shared" si="3"/>
        <v>225</v>
      </c>
      <c r="M37" s="51">
        <f t="shared" si="3"/>
        <v>195</v>
      </c>
      <c r="N37" s="51">
        <f t="shared" si="3"/>
        <v>210</v>
      </c>
      <c r="O37" s="51">
        <f t="shared" si="3"/>
        <v>270</v>
      </c>
      <c r="P37" s="51">
        <f t="shared" si="3"/>
        <v>285</v>
      </c>
    </row>
    <row r="38" spans="2:16" ht="20.100000000000001" customHeight="1" x14ac:dyDescent="0.3"/>
    <row r="39" spans="2:16" ht="20.100000000000001" customHeight="1" x14ac:dyDescent="0.3"/>
    <row r="40" spans="2:16" ht="20.100000000000001" customHeight="1" thickBot="1" x14ac:dyDescent="0.35">
      <c r="B40" s="44" t="s">
        <v>8</v>
      </c>
    </row>
    <row r="41" spans="2:16" ht="20.100000000000001" customHeight="1" thickBot="1" x14ac:dyDescent="0.35">
      <c r="B41" s="52" t="s">
        <v>9</v>
      </c>
      <c r="C41" s="52">
        <v>2</v>
      </c>
      <c r="D41" s="52">
        <v>3</v>
      </c>
      <c r="E41" s="52">
        <v>4</v>
      </c>
      <c r="F41" s="52">
        <v>5</v>
      </c>
      <c r="G41" s="52">
        <v>6</v>
      </c>
      <c r="H41" s="52">
        <v>7</v>
      </c>
    </row>
    <row r="42" spans="2:16" ht="24.9" customHeight="1" thickBot="1" x14ac:dyDescent="0.35">
      <c r="B42" s="52">
        <v>4</v>
      </c>
      <c r="C42" s="53">
        <f>B42*$C$41</f>
        <v>8</v>
      </c>
      <c r="D42" s="53">
        <f>B42*$D$41</f>
        <v>12</v>
      </c>
      <c r="E42" s="53">
        <f>B42*$E$41</f>
        <v>16</v>
      </c>
      <c r="F42" s="53">
        <f>B42*$F$41</f>
        <v>20</v>
      </c>
      <c r="G42" s="53">
        <f>B42*$G$41</f>
        <v>24</v>
      </c>
      <c r="H42" s="53">
        <f>B42*$H$41</f>
        <v>28</v>
      </c>
    </row>
    <row r="43" spans="2:16" ht="24.9" customHeight="1" thickBot="1" x14ac:dyDescent="0.35">
      <c r="B43" s="52">
        <v>5</v>
      </c>
      <c r="C43" s="53">
        <f t="shared" ref="C43:C47" si="4">B43*$C$41</f>
        <v>10</v>
      </c>
      <c r="D43" s="53">
        <f t="shared" ref="D43:D47" si="5">B43*$D$41</f>
        <v>15</v>
      </c>
      <c r="E43" s="53">
        <f t="shared" ref="E43:E47" si="6">B43*$E$41</f>
        <v>20</v>
      </c>
      <c r="F43" s="53">
        <f t="shared" ref="F43:F47" si="7">B43*$F$41</f>
        <v>25</v>
      </c>
      <c r="G43" s="53">
        <f t="shared" ref="G43:G47" si="8">B43*$G$41</f>
        <v>30</v>
      </c>
      <c r="H43" s="53">
        <f t="shared" ref="H43:H47" si="9">B43*$H$41</f>
        <v>35</v>
      </c>
    </row>
    <row r="44" spans="2:16" ht="24.9" customHeight="1" thickBot="1" x14ac:dyDescent="0.35">
      <c r="B44" s="52">
        <v>6</v>
      </c>
      <c r="C44" s="53">
        <f t="shared" si="4"/>
        <v>12</v>
      </c>
      <c r="D44" s="53">
        <f t="shared" si="5"/>
        <v>18</v>
      </c>
      <c r="E44" s="53">
        <f t="shared" si="6"/>
        <v>24</v>
      </c>
      <c r="F44" s="53">
        <f t="shared" si="7"/>
        <v>30</v>
      </c>
      <c r="G44" s="53">
        <f t="shared" si="8"/>
        <v>36</v>
      </c>
      <c r="H44" s="53">
        <f t="shared" si="9"/>
        <v>42</v>
      </c>
    </row>
    <row r="45" spans="2:16" ht="24.9" customHeight="1" thickBot="1" x14ac:dyDescent="0.35">
      <c r="B45" s="52">
        <v>7</v>
      </c>
      <c r="C45" s="53">
        <f t="shared" si="4"/>
        <v>14</v>
      </c>
      <c r="D45" s="53">
        <f t="shared" si="5"/>
        <v>21</v>
      </c>
      <c r="E45" s="53">
        <f t="shared" si="6"/>
        <v>28</v>
      </c>
      <c r="F45" s="53">
        <f t="shared" si="7"/>
        <v>35</v>
      </c>
      <c r="G45" s="53">
        <f t="shared" si="8"/>
        <v>42</v>
      </c>
      <c r="H45" s="53">
        <f t="shared" si="9"/>
        <v>49</v>
      </c>
    </row>
    <row r="46" spans="2:16" ht="24.9" customHeight="1" thickBot="1" x14ac:dyDescent="0.35">
      <c r="B46" s="52">
        <v>8</v>
      </c>
      <c r="C46" s="53">
        <f t="shared" si="4"/>
        <v>16</v>
      </c>
      <c r="D46" s="53">
        <f t="shared" si="5"/>
        <v>24</v>
      </c>
      <c r="E46" s="53">
        <f t="shared" si="6"/>
        <v>32</v>
      </c>
      <c r="F46" s="53">
        <f t="shared" si="7"/>
        <v>40</v>
      </c>
      <c r="G46" s="53">
        <f t="shared" si="8"/>
        <v>48</v>
      </c>
      <c r="H46" s="53">
        <f t="shared" si="9"/>
        <v>56</v>
      </c>
    </row>
    <row r="47" spans="2:16" ht="24.9" customHeight="1" thickBot="1" x14ac:dyDescent="0.35">
      <c r="B47" s="52">
        <v>9</v>
      </c>
      <c r="C47" s="53">
        <f t="shared" si="4"/>
        <v>18</v>
      </c>
      <c r="D47" s="53">
        <f t="shared" si="5"/>
        <v>27</v>
      </c>
      <c r="E47" s="53">
        <f t="shared" si="6"/>
        <v>36</v>
      </c>
      <c r="F47" s="53">
        <f t="shared" si="7"/>
        <v>45</v>
      </c>
      <c r="G47" s="53">
        <f t="shared" si="8"/>
        <v>54</v>
      </c>
      <c r="H47" s="53">
        <f t="shared" si="9"/>
        <v>63</v>
      </c>
    </row>
    <row r="48" spans="2:16" ht="20.100000000000001" customHeight="1" x14ac:dyDescent="0.3"/>
    <row r="51" spans="2:13" ht="18" x14ac:dyDescent="0.3">
      <c r="B51" s="114" t="s">
        <v>212</v>
      </c>
      <c r="C51" s="112"/>
      <c r="D51" s="112"/>
      <c r="E51" s="112"/>
      <c r="F51" s="112"/>
      <c r="G51" s="112"/>
      <c r="H51" s="112"/>
      <c r="I51" s="112"/>
      <c r="J51" s="112"/>
      <c r="K51" s="112"/>
      <c r="L51" s="111"/>
      <c r="M51" s="111"/>
    </row>
    <row r="52" spans="2:13" ht="18" x14ac:dyDescent="0.3">
      <c r="B52" s="137" t="s">
        <v>278</v>
      </c>
      <c r="C52" s="112"/>
      <c r="D52" s="112"/>
      <c r="E52" s="112"/>
      <c r="F52" s="112"/>
      <c r="G52" s="112"/>
      <c r="H52" s="112"/>
      <c r="I52" s="112"/>
      <c r="J52" s="112"/>
      <c r="K52" s="112"/>
      <c r="L52" s="111"/>
      <c r="M52" s="111"/>
    </row>
    <row r="53" spans="2:13" ht="18" x14ac:dyDescent="0.3">
      <c r="B53" s="137" t="s">
        <v>279</v>
      </c>
      <c r="C53" s="112"/>
      <c r="D53" s="112"/>
      <c r="E53" s="112"/>
      <c r="F53" s="112"/>
      <c r="G53" s="112"/>
      <c r="H53" s="112"/>
      <c r="I53" s="112"/>
      <c r="J53" s="112"/>
      <c r="K53" s="112"/>
      <c r="L53" s="111"/>
      <c r="M53" s="111"/>
    </row>
    <row r="54" spans="2:13" ht="18" x14ac:dyDescent="0.3">
      <c r="B54" s="137" t="s">
        <v>280</v>
      </c>
      <c r="C54" s="112"/>
      <c r="D54" s="112"/>
      <c r="E54" s="112"/>
      <c r="F54" s="112"/>
      <c r="G54" s="112"/>
      <c r="H54" s="112"/>
      <c r="I54" s="112"/>
      <c r="J54" s="112"/>
      <c r="K54" s="112"/>
      <c r="L54" s="111"/>
      <c r="M54" s="111"/>
    </row>
    <row r="55" spans="2:13" ht="18" x14ac:dyDescent="0.3">
      <c r="B55" s="137" t="s">
        <v>281</v>
      </c>
      <c r="C55" s="112"/>
      <c r="D55" s="112"/>
      <c r="E55" s="112"/>
      <c r="F55" s="112"/>
      <c r="G55" s="112"/>
      <c r="H55" s="112"/>
      <c r="I55" s="112"/>
      <c r="J55" s="112"/>
      <c r="K55" s="112"/>
      <c r="L55" s="111"/>
      <c r="M55" s="111"/>
    </row>
    <row r="56" spans="2:13" ht="18" x14ac:dyDescent="0.3">
      <c r="B56" s="137" t="s">
        <v>282</v>
      </c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</row>
    <row r="57" spans="2:13" ht="18" x14ac:dyDescent="0.3">
      <c r="B57" s="137" t="s">
        <v>283</v>
      </c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</row>
    <row r="60" spans="2:13" ht="18.600000000000001" thickBot="1" x14ac:dyDescent="0.35">
      <c r="B60" s="44" t="s">
        <v>27</v>
      </c>
      <c r="C60" s="54"/>
      <c r="D60" s="54"/>
      <c r="E60" s="54"/>
      <c r="F60" s="54"/>
      <c r="G60" s="54"/>
      <c r="I60" s="55" t="s">
        <v>58</v>
      </c>
    </row>
    <row r="61" spans="2:13" ht="27" thickBot="1" x14ac:dyDescent="0.35">
      <c r="B61" s="6" t="s">
        <v>0</v>
      </c>
      <c r="C61" s="6" t="s">
        <v>10</v>
      </c>
      <c r="D61" s="6" t="s">
        <v>11</v>
      </c>
      <c r="E61" s="6" t="s">
        <v>12</v>
      </c>
      <c r="F61" s="6" t="s">
        <v>13</v>
      </c>
      <c r="G61" s="54"/>
      <c r="I61" s="6" t="s">
        <v>0</v>
      </c>
      <c r="J61" s="6" t="s">
        <v>10</v>
      </c>
      <c r="K61" s="6" t="s">
        <v>11</v>
      </c>
      <c r="L61" s="6" t="s">
        <v>12</v>
      </c>
      <c r="M61" s="6" t="s">
        <v>13</v>
      </c>
    </row>
    <row r="62" spans="2:13" ht="24.9" customHeight="1" thickBot="1" x14ac:dyDescent="0.35">
      <c r="B62" s="56" t="s">
        <v>14</v>
      </c>
      <c r="C62" s="57" t="str">
        <f>LEFT(B62,3)</f>
        <v>AMI</v>
      </c>
      <c r="D62" s="58" t="str">
        <f>RIGHT(B62,2)</f>
        <v>NI</v>
      </c>
      <c r="E62" s="59" t="str">
        <f>MID(B62,2,3)</f>
        <v>MIN</v>
      </c>
      <c r="F62" s="58">
        <f>LEN(B62)</f>
        <v>5</v>
      </c>
      <c r="G62" s="54"/>
      <c r="I62" s="56" t="s">
        <v>14</v>
      </c>
      <c r="J62" s="58" t="s">
        <v>28</v>
      </c>
      <c r="K62" s="58" t="s">
        <v>29</v>
      </c>
      <c r="L62" s="59" t="s">
        <v>30</v>
      </c>
      <c r="M62" s="58">
        <v>5</v>
      </c>
    </row>
    <row r="63" spans="2:13" ht="24.9" customHeight="1" thickBot="1" x14ac:dyDescent="0.35">
      <c r="B63" s="60" t="s">
        <v>15</v>
      </c>
      <c r="C63" s="57" t="str">
        <f t="shared" ref="C63:C71" si="10">LEFT(B63,3)</f>
        <v>AKB</v>
      </c>
      <c r="D63" s="58" t="str">
        <f t="shared" ref="D63:D71" si="11">RIGHT(B63,2)</f>
        <v>AR</v>
      </c>
      <c r="E63" s="59" t="str">
        <f t="shared" ref="E63:E71" si="12">MID(B63,2,3)</f>
        <v>KBA</v>
      </c>
      <c r="F63" s="58">
        <f t="shared" ref="F63:F71" si="13">LEN(B63)</f>
        <v>5</v>
      </c>
      <c r="G63" s="54"/>
      <c r="I63" s="60" t="s">
        <v>15</v>
      </c>
      <c r="J63" s="58" t="s">
        <v>31</v>
      </c>
      <c r="K63" s="58" t="s">
        <v>32</v>
      </c>
      <c r="L63" s="59" t="s">
        <v>33</v>
      </c>
      <c r="M63" s="58">
        <v>5</v>
      </c>
    </row>
    <row r="64" spans="2:13" ht="24.9" customHeight="1" thickBot="1" x14ac:dyDescent="0.35">
      <c r="B64" s="60" t="s">
        <v>16</v>
      </c>
      <c r="C64" s="57" t="str">
        <f t="shared" si="10"/>
        <v>ABD</v>
      </c>
      <c r="D64" s="58" t="str">
        <f t="shared" si="11"/>
        <v>AN</v>
      </c>
      <c r="E64" s="59" t="str">
        <f t="shared" si="12"/>
        <v>BDU</v>
      </c>
      <c r="F64" s="58">
        <f t="shared" si="13"/>
        <v>11</v>
      </c>
      <c r="G64" s="54"/>
      <c r="I64" s="60" t="s">
        <v>16</v>
      </c>
      <c r="J64" s="58" t="s">
        <v>34</v>
      </c>
      <c r="K64" s="58" t="s">
        <v>35</v>
      </c>
      <c r="L64" s="59" t="s">
        <v>36</v>
      </c>
      <c r="M64" s="58">
        <v>11</v>
      </c>
    </row>
    <row r="65" spans="2:13" ht="24.9" customHeight="1" thickBot="1" x14ac:dyDescent="0.35">
      <c r="B65" s="60" t="s">
        <v>17</v>
      </c>
      <c r="C65" s="57" t="str">
        <f t="shared" si="10"/>
        <v>MEG</v>
      </c>
      <c r="D65" s="58" t="str">
        <f t="shared" si="11"/>
        <v>TI</v>
      </c>
      <c r="E65" s="59" t="str">
        <f t="shared" si="12"/>
        <v>EGA</v>
      </c>
      <c r="F65" s="58">
        <f t="shared" si="13"/>
        <v>8</v>
      </c>
      <c r="G65" s="54"/>
      <c r="I65" s="60" t="s">
        <v>17</v>
      </c>
      <c r="J65" s="58" t="s">
        <v>37</v>
      </c>
      <c r="K65" s="58" t="s">
        <v>38</v>
      </c>
      <c r="L65" s="59" t="s">
        <v>39</v>
      </c>
      <c r="M65" s="58">
        <v>8</v>
      </c>
    </row>
    <row r="66" spans="2:13" ht="24.9" customHeight="1" thickBot="1" x14ac:dyDescent="0.35">
      <c r="B66" s="60" t="s">
        <v>18</v>
      </c>
      <c r="C66" s="57" t="str">
        <f t="shared" si="10"/>
        <v>BAM</v>
      </c>
      <c r="D66" s="58" t="str">
        <f t="shared" si="11"/>
        <v>NG</v>
      </c>
      <c r="E66" s="59" t="str">
        <f t="shared" si="12"/>
        <v>AMB</v>
      </c>
      <c r="F66" s="58">
        <f t="shared" si="13"/>
        <v>7</v>
      </c>
      <c r="G66" s="54"/>
      <c r="I66" s="60" t="s">
        <v>18</v>
      </c>
      <c r="J66" s="58" t="s">
        <v>40</v>
      </c>
      <c r="K66" s="58" t="s">
        <v>41</v>
      </c>
      <c r="L66" s="59" t="s">
        <v>42</v>
      </c>
      <c r="M66" s="58">
        <v>7</v>
      </c>
    </row>
    <row r="67" spans="2:13" ht="24.9" customHeight="1" thickBot="1" x14ac:dyDescent="0.35">
      <c r="B67" s="60" t="s">
        <v>19</v>
      </c>
      <c r="C67" s="57" t="str">
        <f t="shared" si="10"/>
        <v>BAH</v>
      </c>
      <c r="D67" s="58" t="str">
        <f t="shared" si="11"/>
        <v>IN</v>
      </c>
      <c r="E67" s="59" t="str">
        <f t="shared" si="12"/>
        <v>AHA</v>
      </c>
      <c r="F67" s="58">
        <f t="shared" si="13"/>
        <v>9</v>
      </c>
      <c r="G67" s="54"/>
      <c r="I67" s="60" t="s">
        <v>19</v>
      </c>
      <c r="J67" s="58" t="s">
        <v>43</v>
      </c>
      <c r="K67" s="58" t="s">
        <v>44</v>
      </c>
      <c r="L67" s="59" t="s">
        <v>45</v>
      </c>
      <c r="M67" s="58">
        <v>9</v>
      </c>
    </row>
    <row r="68" spans="2:13" ht="24.9" customHeight="1" thickBot="1" x14ac:dyDescent="0.35">
      <c r="B68" s="60" t="s">
        <v>20</v>
      </c>
      <c r="C68" s="57" t="str">
        <f t="shared" si="10"/>
        <v>MAT</v>
      </c>
      <c r="D68" s="58" t="str">
        <f t="shared" si="11"/>
        <v>RI</v>
      </c>
      <c r="E68" s="59" t="str">
        <f t="shared" si="12"/>
        <v>ATO</v>
      </c>
      <c r="F68" s="58">
        <f t="shared" si="13"/>
        <v>6</v>
      </c>
      <c r="G68" s="54"/>
      <c r="I68" s="60" t="s">
        <v>20</v>
      </c>
      <c r="J68" s="58" t="s">
        <v>46</v>
      </c>
      <c r="K68" s="58" t="s">
        <v>47</v>
      </c>
      <c r="L68" s="59" t="s">
        <v>48</v>
      </c>
      <c r="M68" s="58">
        <v>6</v>
      </c>
    </row>
    <row r="69" spans="2:13" ht="24.9" customHeight="1" thickBot="1" x14ac:dyDescent="0.35">
      <c r="B69" s="60" t="s">
        <v>21</v>
      </c>
      <c r="C69" s="57" t="str">
        <f t="shared" si="10"/>
        <v>MAH</v>
      </c>
      <c r="D69" s="58" t="str">
        <f t="shared" si="11"/>
        <v>UD</v>
      </c>
      <c r="E69" s="59" t="str">
        <f t="shared" si="12"/>
        <v>AHF</v>
      </c>
      <c r="F69" s="58">
        <f t="shared" si="13"/>
        <v>6</v>
      </c>
      <c r="I69" s="60" t="s">
        <v>21</v>
      </c>
      <c r="J69" s="58" t="s">
        <v>49</v>
      </c>
      <c r="K69" s="58" t="s">
        <v>50</v>
      </c>
      <c r="L69" s="59" t="s">
        <v>51</v>
      </c>
      <c r="M69" s="58">
        <v>6</v>
      </c>
    </row>
    <row r="70" spans="2:13" ht="24.9" customHeight="1" thickBot="1" x14ac:dyDescent="0.35">
      <c r="B70" s="60" t="s">
        <v>22</v>
      </c>
      <c r="C70" s="57" t="str">
        <f t="shared" si="10"/>
        <v>YUS</v>
      </c>
      <c r="D70" s="58" t="str">
        <f t="shared" si="11"/>
        <v>IL</v>
      </c>
      <c r="E70" s="59" t="str">
        <f t="shared" si="12"/>
        <v>USR</v>
      </c>
      <c r="F70" s="58">
        <f t="shared" si="13"/>
        <v>6</v>
      </c>
      <c r="I70" s="60" t="s">
        <v>22</v>
      </c>
      <c r="J70" s="58" t="s">
        <v>52</v>
      </c>
      <c r="K70" s="58" t="s">
        <v>53</v>
      </c>
      <c r="L70" s="59" t="s">
        <v>54</v>
      </c>
      <c r="M70" s="58">
        <v>6</v>
      </c>
    </row>
    <row r="71" spans="2:13" ht="24.9" customHeight="1" thickBot="1" x14ac:dyDescent="0.35">
      <c r="B71" s="61" t="s">
        <v>23</v>
      </c>
      <c r="C71" s="57" t="str">
        <f t="shared" si="10"/>
        <v>HAM</v>
      </c>
      <c r="D71" s="58" t="str">
        <f t="shared" si="11"/>
        <v>AZ</v>
      </c>
      <c r="E71" s="59" t="str">
        <f t="shared" si="12"/>
        <v>AMZ</v>
      </c>
      <c r="F71" s="58">
        <f t="shared" si="13"/>
        <v>10</v>
      </c>
      <c r="I71" s="61" t="s">
        <v>23</v>
      </c>
      <c r="J71" s="58" t="s">
        <v>55</v>
      </c>
      <c r="K71" s="58" t="s">
        <v>56</v>
      </c>
      <c r="L71" s="59" t="s">
        <v>57</v>
      </c>
      <c r="M71" s="58">
        <v>10</v>
      </c>
    </row>
    <row r="72" spans="2:13" x14ac:dyDescent="0.3">
      <c r="B72" s="54"/>
      <c r="C72" s="54"/>
      <c r="D72" s="54"/>
      <c r="E72" s="54"/>
      <c r="F72" s="54"/>
    </row>
    <row r="73" spans="2:13" x14ac:dyDescent="0.3">
      <c r="B73" s="62" t="s">
        <v>24</v>
      </c>
      <c r="C73" s="54"/>
      <c r="D73" s="54"/>
      <c r="E73" s="54"/>
      <c r="F73" s="54"/>
    </row>
    <row r="74" spans="2:13" x14ac:dyDescent="0.3">
      <c r="B74" s="54" t="s">
        <v>25</v>
      </c>
      <c r="C74" s="54"/>
      <c r="D74" s="54"/>
      <c r="E74" s="54"/>
      <c r="F74" s="63"/>
    </row>
    <row r="75" spans="2:13" x14ac:dyDescent="0.3">
      <c r="B75" s="54" t="s">
        <v>26</v>
      </c>
      <c r="C75" s="54"/>
      <c r="D75" s="54"/>
      <c r="E75" s="54"/>
      <c r="F75" s="64"/>
    </row>
    <row r="76" spans="2:13" x14ac:dyDescent="0.3">
      <c r="B76" s="54" t="s">
        <v>284</v>
      </c>
      <c r="C76" s="54"/>
      <c r="D76" s="54"/>
      <c r="E76" s="54"/>
      <c r="F76" s="54"/>
    </row>
    <row r="77" spans="2:13" x14ac:dyDescent="0.3">
      <c r="B77" s="54" t="s">
        <v>285</v>
      </c>
      <c r="C77" s="54"/>
      <c r="D77" s="54"/>
      <c r="E77" s="54"/>
      <c r="F77" s="54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B3:J73"/>
  <sheetViews>
    <sheetView showGridLines="0" topLeftCell="A5" workbookViewId="0">
      <selection activeCell="C96" sqref="C96"/>
    </sheetView>
  </sheetViews>
  <sheetFormatPr defaultColWidth="9.109375" defaultRowHeight="14.4" x14ac:dyDescent="0.3"/>
  <cols>
    <col min="1" max="1" width="9.109375" style="43"/>
    <col min="2" max="2" width="7" style="43" customWidth="1"/>
    <col min="3" max="3" width="21.6640625" style="43" customWidth="1"/>
    <col min="4" max="4" width="17.6640625" style="43" customWidth="1"/>
    <col min="5" max="9" width="19" style="43" customWidth="1"/>
    <col min="10" max="16384" width="9.109375" style="43"/>
  </cols>
  <sheetData>
    <row r="3" spans="2:9" ht="16.2" thickBot="1" x14ac:dyDescent="0.35">
      <c r="B3" s="65" t="s">
        <v>128</v>
      </c>
      <c r="D3" s="65"/>
      <c r="E3" s="65"/>
      <c r="F3" s="65"/>
    </row>
    <row r="4" spans="2:9" ht="23.25" customHeight="1" thickBot="1" x14ac:dyDescent="0.35">
      <c r="B4" s="273" t="s">
        <v>129</v>
      </c>
      <c r="C4" s="273" t="s">
        <v>130</v>
      </c>
      <c r="D4" s="284" t="s">
        <v>131</v>
      </c>
      <c r="E4" s="284"/>
      <c r="F4" s="285" t="s">
        <v>132</v>
      </c>
      <c r="G4" s="273" t="s">
        <v>133</v>
      </c>
      <c r="H4" s="273"/>
      <c r="I4" s="135" t="s">
        <v>132</v>
      </c>
    </row>
    <row r="5" spans="2:9" ht="23.25" customHeight="1" thickBot="1" x14ac:dyDescent="0.35">
      <c r="B5" s="283"/>
      <c r="C5" s="283"/>
      <c r="D5" s="143" t="s">
        <v>134</v>
      </c>
      <c r="E5" s="143" t="s">
        <v>74</v>
      </c>
      <c r="F5" s="286"/>
      <c r="G5" s="143" t="s">
        <v>134</v>
      </c>
      <c r="H5" s="143" t="s">
        <v>74</v>
      </c>
      <c r="I5" s="136" t="s">
        <v>135</v>
      </c>
    </row>
    <row r="6" spans="2:9" ht="24.9" customHeight="1" x14ac:dyDescent="0.3">
      <c r="B6" s="141">
        <v>1</v>
      </c>
      <c r="C6" s="141">
        <v>4</v>
      </c>
      <c r="D6" s="267">
        <f>C6*$D$16</f>
        <v>4800000</v>
      </c>
      <c r="E6" s="268">
        <f>C6*$D$15</f>
        <v>12000000</v>
      </c>
      <c r="F6" s="268">
        <f>SUM(D6:E6)</f>
        <v>16800000</v>
      </c>
      <c r="G6" s="268">
        <f>D6*$D$17</f>
        <v>336000.00000000006</v>
      </c>
      <c r="H6" s="268">
        <f>E6*$D$17</f>
        <v>840000.00000000012</v>
      </c>
      <c r="I6" s="268">
        <f>F6-(G6+H6)</f>
        <v>15624000</v>
      </c>
    </row>
    <row r="7" spans="2:9" ht="24.9" customHeight="1" x14ac:dyDescent="0.3">
      <c r="B7" s="138">
        <v>2</v>
      </c>
      <c r="C7" s="138">
        <v>3</v>
      </c>
      <c r="D7" s="267">
        <f t="shared" ref="D7:D10" si="0">C7*$D$16</f>
        <v>3600000</v>
      </c>
      <c r="E7" s="268">
        <f t="shared" ref="E7:E10" si="1">C7*$D$15</f>
        <v>9000000</v>
      </c>
      <c r="F7" s="268">
        <f t="shared" ref="F7:F10" si="2">SUM(D7:E7)</f>
        <v>12600000</v>
      </c>
      <c r="G7" s="268">
        <f t="shared" ref="G7:G10" si="3">D7*$D$17</f>
        <v>252000.00000000003</v>
      </c>
      <c r="H7" s="268">
        <f t="shared" ref="H7:H10" si="4">E7*$D$17</f>
        <v>630000.00000000012</v>
      </c>
      <c r="I7" s="268">
        <f t="shared" ref="I7:I10" si="5">F7-(G7+H7)</f>
        <v>11718000</v>
      </c>
    </row>
    <row r="8" spans="2:9" ht="24.9" customHeight="1" x14ac:dyDescent="0.3">
      <c r="B8" s="138">
        <v>3</v>
      </c>
      <c r="C8" s="138">
        <v>5</v>
      </c>
      <c r="D8" s="267">
        <f t="shared" si="0"/>
        <v>6000000</v>
      </c>
      <c r="E8" s="268">
        <f t="shared" si="1"/>
        <v>15000000</v>
      </c>
      <c r="F8" s="268">
        <f t="shared" si="2"/>
        <v>21000000</v>
      </c>
      <c r="G8" s="268">
        <f t="shared" si="3"/>
        <v>420000.00000000006</v>
      </c>
      <c r="H8" s="268">
        <f t="shared" si="4"/>
        <v>1050000</v>
      </c>
      <c r="I8" s="268">
        <f t="shared" si="5"/>
        <v>19530000</v>
      </c>
    </row>
    <row r="9" spans="2:9" ht="24.9" customHeight="1" x14ac:dyDescent="0.3">
      <c r="B9" s="138">
        <v>4</v>
      </c>
      <c r="C9" s="138">
        <v>6</v>
      </c>
      <c r="D9" s="267">
        <f t="shared" si="0"/>
        <v>7200000</v>
      </c>
      <c r="E9" s="268">
        <f t="shared" si="1"/>
        <v>18000000</v>
      </c>
      <c r="F9" s="268">
        <f t="shared" si="2"/>
        <v>25200000</v>
      </c>
      <c r="G9" s="268">
        <f t="shared" si="3"/>
        <v>504000.00000000006</v>
      </c>
      <c r="H9" s="268">
        <f t="shared" si="4"/>
        <v>1260000.0000000002</v>
      </c>
      <c r="I9" s="268">
        <f t="shared" si="5"/>
        <v>23436000</v>
      </c>
    </row>
    <row r="10" spans="2:9" ht="24.9" customHeight="1" thickBot="1" x14ac:dyDescent="0.35">
      <c r="B10" s="142">
        <v>5</v>
      </c>
      <c r="C10" s="142">
        <v>8</v>
      </c>
      <c r="D10" s="267">
        <f t="shared" si="0"/>
        <v>9600000</v>
      </c>
      <c r="E10" s="268">
        <f t="shared" si="1"/>
        <v>24000000</v>
      </c>
      <c r="F10" s="268">
        <f t="shared" si="2"/>
        <v>33600000</v>
      </c>
      <c r="G10" s="268">
        <f t="shared" si="3"/>
        <v>672000.00000000012</v>
      </c>
      <c r="H10" s="268">
        <f t="shared" si="4"/>
        <v>1680000.0000000002</v>
      </c>
      <c r="I10" s="268">
        <f t="shared" si="5"/>
        <v>31248000</v>
      </c>
    </row>
    <row r="11" spans="2:9" ht="24.9" customHeight="1" thickBot="1" x14ac:dyDescent="0.35">
      <c r="B11" s="139"/>
      <c r="C11" s="140" t="s">
        <v>132</v>
      </c>
      <c r="D11" s="269">
        <f>SUM(D6:D10)</f>
        <v>31200000</v>
      </c>
      <c r="E11" s="269">
        <f t="shared" ref="E11:I11" si="6">SUM(E6:E10)</f>
        <v>78000000</v>
      </c>
      <c r="F11" s="269">
        <f t="shared" si="6"/>
        <v>109200000</v>
      </c>
      <c r="G11" s="269">
        <f t="shared" si="6"/>
        <v>2184000.0000000005</v>
      </c>
      <c r="H11" s="269">
        <f t="shared" si="6"/>
        <v>5460000</v>
      </c>
      <c r="I11" s="269">
        <f t="shared" si="6"/>
        <v>101556000</v>
      </c>
    </row>
    <row r="14" spans="2:9" x14ac:dyDescent="0.3">
      <c r="C14" s="282" t="s">
        <v>136</v>
      </c>
      <c r="D14" s="282"/>
    </row>
    <row r="15" spans="2:9" ht="17.100000000000001" customHeight="1" x14ac:dyDescent="0.3">
      <c r="C15" s="66" t="s">
        <v>74</v>
      </c>
      <c r="D15" s="67">
        <v>3000000</v>
      </c>
    </row>
    <row r="16" spans="2:9" ht="17.100000000000001" customHeight="1" x14ac:dyDescent="0.3">
      <c r="C16" s="66" t="s">
        <v>134</v>
      </c>
      <c r="D16" s="68">
        <v>1200000</v>
      </c>
    </row>
    <row r="17" spans="2:10" ht="17.100000000000001" customHeight="1" x14ac:dyDescent="0.3">
      <c r="C17" s="66" t="s">
        <v>137</v>
      </c>
      <c r="D17" s="69">
        <v>7.0000000000000007E-2</v>
      </c>
    </row>
    <row r="19" spans="2:10" x14ac:dyDescent="0.3">
      <c r="C19" s="70" t="s">
        <v>138</v>
      </c>
      <c r="D19" s="70" t="s">
        <v>139</v>
      </c>
      <c r="E19" s="71"/>
    </row>
    <row r="20" spans="2:10" x14ac:dyDescent="0.3">
      <c r="C20" s="71" t="s">
        <v>140</v>
      </c>
      <c r="D20" s="72" t="s">
        <v>141</v>
      </c>
      <c r="E20" s="71"/>
    </row>
    <row r="21" spans="2:10" x14ac:dyDescent="0.3">
      <c r="C21" s="71" t="s">
        <v>142</v>
      </c>
      <c r="D21" s="72" t="s">
        <v>143</v>
      </c>
      <c r="E21" s="71"/>
    </row>
    <row r="22" spans="2:10" x14ac:dyDescent="0.3">
      <c r="C22" s="70" t="s">
        <v>142</v>
      </c>
      <c r="D22" s="70" t="s">
        <v>144</v>
      </c>
      <c r="E22" s="71"/>
    </row>
    <row r="23" spans="2:10" x14ac:dyDescent="0.3">
      <c r="C23" s="71" t="s">
        <v>145</v>
      </c>
      <c r="D23" s="72" t="s">
        <v>146</v>
      </c>
      <c r="E23" s="71"/>
    </row>
    <row r="28" spans="2:10" ht="15.6" x14ac:dyDescent="0.3">
      <c r="B28" s="276" t="s">
        <v>147</v>
      </c>
      <c r="C28" s="276"/>
      <c r="D28" s="276"/>
      <c r="E28" s="276"/>
      <c r="F28" s="276"/>
      <c r="G28" s="276"/>
      <c r="H28" s="276"/>
    </row>
    <row r="29" spans="2:10" ht="15" thickBot="1" x14ac:dyDescent="0.35">
      <c r="B29" s="277" t="s">
        <v>148</v>
      </c>
      <c r="C29" s="278"/>
      <c r="D29" s="278"/>
      <c r="E29" s="278"/>
      <c r="F29" s="278"/>
      <c r="G29" s="278"/>
      <c r="H29" s="278"/>
    </row>
    <row r="30" spans="2:10" ht="20.100000000000001" customHeight="1" thickTop="1" thickBot="1" x14ac:dyDescent="0.35">
      <c r="B30" s="78" t="s">
        <v>77</v>
      </c>
      <c r="C30" s="78" t="s">
        <v>0</v>
      </c>
      <c r="D30" s="78" t="s">
        <v>83</v>
      </c>
      <c r="E30" s="144" t="s">
        <v>149</v>
      </c>
      <c r="F30" s="144" t="s">
        <v>150</v>
      </c>
      <c r="G30" s="144" t="s">
        <v>151</v>
      </c>
      <c r="H30" s="144" t="s">
        <v>152</v>
      </c>
    </row>
    <row r="31" spans="2:10" ht="20.100000000000001" customHeight="1" x14ac:dyDescent="0.3">
      <c r="B31" s="145">
        <v>1</v>
      </c>
      <c r="C31" s="79" t="s">
        <v>153</v>
      </c>
      <c r="D31" s="80">
        <v>250000</v>
      </c>
      <c r="E31" s="146">
        <f>D31*0.15</f>
        <v>37500</v>
      </c>
      <c r="F31" s="147">
        <f>D31+E31</f>
        <v>287500</v>
      </c>
      <c r="G31" s="148">
        <f>F31*0.025</f>
        <v>7187.5</v>
      </c>
      <c r="H31" s="147">
        <f>F31-G31</f>
        <v>280312.5</v>
      </c>
      <c r="J31" s="132"/>
    </row>
    <row r="32" spans="2:10" ht="20.100000000000001" customHeight="1" x14ac:dyDescent="0.3">
      <c r="B32" s="149">
        <v>2</v>
      </c>
      <c r="C32" s="81" t="s">
        <v>154</v>
      </c>
      <c r="D32" s="82">
        <v>300000</v>
      </c>
      <c r="E32" s="146">
        <f t="shared" ref="E32:E40" si="7">D32*0.15</f>
        <v>45000</v>
      </c>
      <c r="F32" s="147">
        <f t="shared" ref="F32:F40" si="8">D32+E32</f>
        <v>345000</v>
      </c>
      <c r="G32" s="148">
        <f t="shared" ref="G32:G40" si="9">F32*0.025</f>
        <v>8625</v>
      </c>
      <c r="H32" s="147">
        <f t="shared" ref="H32:H40" si="10">F32-G32</f>
        <v>336375</v>
      </c>
      <c r="J32" s="133"/>
    </row>
    <row r="33" spans="2:8" ht="20.100000000000001" customHeight="1" x14ac:dyDescent="0.3">
      <c r="B33" s="149">
        <v>3</v>
      </c>
      <c r="C33" s="81" t="s">
        <v>155</v>
      </c>
      <c r="D33" s="82">
        <v>150000</v>
      </c>
      <c r="E33" s="146">
        <f t="shared" si="7"/>
        <v>22500</v>
      </c>
      <c r="F33" s="147">
        <f t="shared" si="8"/>
        <v>172500</v>
      </c>
      <c r="G33" s="148">
        <f t="shared" si="9"/>
        <v>4312.5</v>
      </c>
      <c r="H33" s="147">
        <f t="shared" si="10"/>
        <v>168187.5</v>
      </c>
    </row>
    <row r="34" spans="2:8" ht="20.100000000000001" customHeight="1" x14ac:dyDescent="0.3">
      <c r="B34" s="149">
        <v>4</v>
      </c>
      <c r="C34" s="81" t="s">
        <v>156</v>
      </c>
      <c r="D34" s="82">
        <v>200000</v>
      </c>
      <c r="E34" s="146">
        <f t="shared" si="7"/>
        <v>30000</v>
      </c>
      <c r="F34" s="147">
        <f t="shared" si="8"/>
        <v>230000</v>
      </c>
      <c r="G34" s="148">
        <f t="shared" si="9"/>
        <v>5750</v>
      </c>
      <c r="H34" s="147">
        <f t="shared" si="10"/>
        <v>224250</v>
      </c>
    </row>
    <row r="35" spans="2:8" ht="20.100000000000001" customHeight="1" x14ac:dyDescent="0.3">
      <c r="B35" s="149">
        <v>5</v>
      </c>
      <c r="C35" s="81" t="s">
        <v>157</v>
      </c>
      <c r="D35" s="82">
        <v>350000</v>
      </c>
      <c r="E35" s="146">
        <f t="shared" si="7"/>
        <v>52500</v>
      </c>
      <c r="F35" s="147">
        <f t="shared" si="8"/>
        <v>402500</v>
      </c>
      <c r="G35" s="148">
        <f t="shared" si="9"/>
        <v>10062.5</v>
      </c>
      <c r="H35" s="147">
        <f t="shared" si="10"/>
        <v>392437.5</v>
      </c>
    </row>
    <row r="36" spans="2:8" ht="20.100000000000001" customHeight="1" x14ac:dyDescent="0.3">
      <c r="B36" s="149">
        <v>6</v>
      </c>
      <c r="C36" s="81" t="s">
        <v>158</v>
      </c>
      <c r="D36" s="82">
        <v>100000</v>
      </c>
      <c r="E36" s="146">
        <f t="shared" si="7"/>
        <v>15000</v>
      </c>
      <c r="F36" s="147">
        <f t="shared" si="8"/>
        <v>115000</v>
      </c>
      <c r="G36" s="148">
        <f t="shared" si="9"/>
        <v>2875</v>
      </c>
      <c r="H36" s="147">
        <f t="shared" si="10"/>
        <v>112125</v>
      </c>
    </row>
    <row r="37" spans="2:8" ht="20.100000000000001" customHeight="1" x14ac:dyDescent="0.3">
      <c r="B37" s="149">
        <v>7</v>
      </c>
      <c r="C37" s="81" t="s">
        <v>159</v>
      </c>
      <c r="D37" s="82">
        <v>175000</v>
      </c>
      <c r="E37" s="146">
        <f t="shared" si="7"/>
        <v>26250</v>
      </c>
      <c r="F37" s="147">
        <f t="shared" si="8"/>
        <v>201250</v>
      </c>
      <c r="G37" s="148">
        <f t="shared" si="9"/>
        <v>5031.25</v>
      </c>
      <c r="H37" s="147">
        <f t="shared" si="10"/>
        <v>196218.75</v>
      </c>
    </row>
    <row r="38" spans="2:8" ht="20.100000000000001" customHeight="1" x14ac:dyDescent="0.3">
      <c r="B38" s="149">
        <v>8</v>
      </c>
      <c r="C38" s="81" t="s">
        <v>160</v>
      </c>
      <c r="D38" s="82">
        <v>300000</v>
      </c>
      <c r="E38" s="146">
        <f t="shared" si="7"/>
        <v>45000</v>
      </c>
      <c r="F38" s="147">
        <f t="shared" si="8"/>
        <v>345000</v>
      </c>
      <c r="G38" s="148">
        <f t="shared" si="9"/>
        <v>8625</v>
      </c>
      <c r="H38" s="147">
        <f t="shared" si="10"/>
        <v>336375</v>
      </c>
    </row>
    <row r="39" spans="2:8" ht="20.100000000000001" customHeight="1" x14ac:dyDescent="0.3">
      <c r="B39" s="149">
        <v>9</v>
      </c>
      <c r="C39" s="83" t="s">
        <v>161</v>
      </c>
      <c r="D39" s="82">
        <v>400000</v>
      </c>
      <c r="E39" s="146">
        <f t="shared" si="7"/>
        <v>60000</v>
      </c>
      <c r="F39" s="147">
        <f t="shared" si="8"/>
        <v>460000</v>
      </c>
      <c r="G39" s="148">
        <f t="shared" si="9"/>
        <v>11500</v>
      </c>
      <c r="H39" s="147">
        <f t="shared" si="10"/>
        <v>448500</v>
      </c>
    </row>
    <row r="40" spans="2:8" ht="20.100000000000001" customHeight="1" thickBot="1" x14ac:dyDescent="0.35">
      <c r="B40" s="150">
        <v>10</v>
      </c>
      <c r="C40" s="84" t="s">
        <v>162</v>
      </c>
      <c r="D40" s="85">
        <v>250000</v>
      </c>
      <c r="E40" s="146">
        <f t="shared" si="7"/>
        <v>37500</v>
      </c>
      <c r="F40" s="147">
        <f t="shared" si="8"/>
        <v>287500</v>
      </c>
      <c r="G40" s="148">
        <f t="shared" si="9"/>
        <v>7187.5</v>
      </c>
      <c r="H40" s="147">
        <f t="shared" si="10"/>
        <v>280312.5</v>
      </c>
    </row>
    <row r="41" spans="2:8" ht="20.100000000000001" customHeight="1" x14ac:dyDescent="0.3">
      <c r="B41" s="279" t="s">
        <v>132</v>
      </c>
      <c r="C41" s="279"/>
      <c r="D41" s="151"/>
      <c r="E41" s="151"/>
      <c r="F41" s="151"/>
      <c r="G41" s="151"/>
      <c r="H41" s="151">
        <f>SUM(H31:H40)</f>
        <v>2775093.75</v>
      </c>
    </row>
    <row r="42" spans="2:8" ht="20.100000000000001" customHeight="1" x14ac:dyDescent="0.3">
      <c r="B42" s="280" t="s">
        <v>163</v>
      </c>
      <c r="C42" s="281"/>
      <c r="D42" s="152"/>
      <c r="E42" s="152"/>
      <c r="F42" s="152"/>
      <c r="G42" s="152"/>
      <c r="H42" s="152">
        <f>AVERAGE(H31:H40)</f>
        <v>277509.375</v>
      </c>
    </row>
    <row r="43" spans="2:8" ht="20.100000000000001" customHeight="1" x14ac:dyDescent="0.3">
      <c r="B43" s="280" t="s">
        <v>164</v>
      </c>
      <c r="C43" s="280"/>
      <c r="D43" s="152"/>
      <c r="E43" s="152"/>
      <c r="F43" s="152"/>
      <c r="G43" s="152"/>
      <c r="H43" s="152">
        <f>MAX(H31:H40)</f>
        <v>448500</v>
      </c>
    </row>
    <row r="44" spans="2:8" ht="20.100000000000001" customHeight="1" x14ac:dyDescent="0.3">
      <c r="B44" s="281" t="s">
        <v>165</v>
      </c>
      <c r="C44" s="281"/>
      <c r="D44" s="152"/>
      <c r="E44" s="152"/>
      <c r="F44" s="152"/>
      <c r="G44" s="152"/>
      <c r="H44" s="152">
        <f>MIN(H31:H40)</f>
        <v>112125</v>
      </c>
    </row>
    <row r="45" spans="2:8" ht="20.100000000000001" customHeight="1" thickBot="1" x14ac:dyDescent="0.35">
      <c r="B45" s="274" t="s">
        <v>166</v>
      </c>
      <c r="C45" s="275"/>
      <c r="D45" s="153"/>
      <c r="E45" s="153"/>
      <c r="F45" s="153"/>
      <c r="G45" s="153"/>
      <c r="H45" s="153">
        <f>MEDIAN(H31:H40)</f>
        <v>280312.5</v>
      </c>
    </row>
    <row r="46" spans="2:8" x14ac:dyDescent="0.3">
      <c r="B46" s="73"/>
      <c r="C46" s="74"/>
      <c r="D46" s="75"/>
      <c r="E46" s="74"/>
      <c r="F46" s="74"/>
      <c r="G46" s="74"/>
      <c r="H46" s="74"/>
    </row>
    <row r="47" spans="2:8" x14ac:dyDescent="0.3">
      <c r="B47" s="73"/>
      <c r="C47" s="86" t="s">
        <v>24</v>
      </c>
      <c r="D47" s="87"/>
      <c r="E47" s="87"/>
      <c r="F47" s="87"/>
      <c r="G47" s="87"/>
      <c r="H47" s="74"/>
    </row>
    <row r="48" spans="2:8" x14ac:dyDescent="0.3">
      <c r="B48" s="73"/>
      <c r="C48" s="88" t="s">
        <v>167</v>
      </c>
      <c r="D48" s="89"/>
      <c r="E48" s="87"/>
      <c r="F48" s="87"/>
      <c r="G48" s="87"/>
      <c r="H48" s="74"/>
    </row>
    <row r="49" spans="2:8" x14ac:dyDescent="0.3">
      <c r="B49" s="73"/>
      <c r="C49" s="90" t="s">
        <v>168</v>
      </c>
      <c r="D49" s="89"/>
      <c r="E49" s="87"/>
      <c r="F49" s="87"/>
      <c r="G49" s="87"/>
      <c r="H49" s="74"/>
    </row>
    <row r="50" spans="2:8" x14ac:dyDescent="0.3">
      <c r="B50" s="73"/>
      <c r="C50" s="90" t="s">
        <v>169</v>
      </c>
      <c r="D50" s="89"/>
      <c r="E50" s="87"/>
      <c r="F50" s="87"/>
      <c r="G50" s="87"/>
      <c r="H50" s="74"/>
    </row>
    <row r="51" spans="2:8" x14ac:dyDescent="0.3">
      <c r="B51" s="73"/>
      <c r="C51" s="90" t="s">
        <v>170</v>
      </c>
      <c r="D51" s="89"/>
      <c r="E51" s="87"/>
      <c r="F51" s="87"/>
      <c r="G51" s="87"/>
      <c r="H51" s="74"/>
    </row>
    <row r="52" spans="2:8" x14ac:dyDescent="0.3">
      <c r="B52" s="73"/>
      <c r="C52" s="91" t="s">
        <v>171</v>
      </c>
      <c r="D52" s="92"/>
      <c r="E52" s="92"/>
      <c r="F52" s="92"/>
      <c r="G52" s="92"/>
      <c r="H52" s="73"/>
    </row>
    <row r="53" spans="2:8" x14ac:dyDescent="0.3">
      <c r="B53" s="73"/>
      <c r="C53" s="91" t="s">
        <v>172</v>
      </c>
      <c r="D53" s="92"/>
      <c r="E53" s="92"/>
      <c r="F53" s="71"/>
      <c r="G53" s="92"/>
      <c r="H53" s="73"/>
    </row>
    <row r="56" spans="2:8" ht="21.6" thickBot="1" x14ac:dyDescent="0.35">
      <c r="B56" s="154" t="s">
        <v>173</v>
      </c>
    </row>
    <row r="57" spans="2:8" ht="60.75" customHeight="1" thickBot="1" x14ac:dyDescent="0.35">
      <c r="C57" s="41" t="s">
        <v>0</v>
      </c>
      <c r="D57" s="41" t="s">
        <v>10</v>
      </c>
      <c r="E57" s="41" t="s">
        <v>11</v>
      </c>
      <c r="F57" s="41" t="s">
        <v>12</v>
      </c>
      <c r="G57" s="41" t="s">
        <v>13</v>
      </c>
    </row>
    <row r="58" spans="2:8" ht="21.9" customHeight="1" thickBot="1" x14ac:dyDescent="0.35">
      <c r="C58" s="93" t="s">
        <v>290</v>
      </c>
      <c r="D58" s="94" t="str">
        <f>LEFT(C58,3)</f>
        <v>Ang</v>
      </c>
      <c r="E58" s="95" t="str">
        <f>RIGHT(C58,2)</f>
        <v>ra</v>
      </c>
      <c r="F58" s="95" t="str">
        <f>MID(C58,2,3)</f>
        <v>ngg</v>
      </c>
      <c r="G58" s="95">
        <f>LEN(C58)</f>
        <v>17</v>
      </c>
    </row>
    <row r="59" spans="2:8" ht="21.9" customHeight="1" thickBot="1" x14ac:dyDescent="0.35">
      <c r="C59" s="93" t="s">
        <v>286</v>
      </c>
      <c r="D59" s="94" t="str">
        <f t="shared" ref="D59:D67" si="11">LEFT(C59,3)</f>
        <v>Ria</v>
      </c>
      <c r="E59" s="95" t="str">
        <f t="shared" ref="E59:E67" si="12">RIGHT(C59,2)</f>
        <v>da</v>
      </c>
      <c r="F59" s="95" t="str">
        <f t="shared" ref="F59:F67" si="13">MID(C59,2,3)</f>
        <v xml:space="preserve">ia </v>
      </c>
      <c r="G59" s="95">
        <f t="shared" ref="G59:G67" si="14">LEN(C59)</f>
        <v>11</v>
      </c>
    </row>
    <row r="60" spans="2:8" ht="21.9" customHeight="1" thickBot="1" x14ac:dyDescent="0.35">
      <c r="C60" s="93" t="s">
        <v>287</v>
      </c>
      <c r="D60" s="94" t="str">
        <f t="shared" si="11"/>
        <v>Fad</v>
      </c>
      <c r="E60" s="95" t="str">
        <f t="shared" si="12"/>
        <v>za</v>
      </c>
      <c r="F60" s="95" t="str">
        <f t="shared" si="13"/>
        <v>adl</v>
      </c>
      <c r="G60" s="95">
        <f t="shared" si="14"/>
        <v>14</v>
      </c>
    </row>
    <row r="61" spans="2:8" ht="21.9" customHeight="1" thickBot="1" x14ac:dyDescent="0.35">
      <c r="C61" s="93" t="s">
        <v>288</v>
      </c>
      <c r="D61" s="94" t="str">
        <f t="shared" si="11"/>
        <v>Nur</v>
      </c>
      <c r="E61" s="95" t="str">
        <f t="shared" si="12"/>
        <v>wo</v>
      </c>
      <c r="F61" s="95" t="str">
        <f t="shared" si="13"/>
        <v xml:space="preserve">ur </v>
      </c>
      <c r="G61" s="95">
        <f t="shared" si="14"/>
        <v>16</v>
      </c>
    </row>
    <row r="62" spans="2:8" ht="21.9" customHeight="1" thickBot="1" x14ac:dyDescent="0.35">
      <c r="C62" s="93" t="s">
        <v>291</v>
      </c>
      <c r="D62" s="94" t="str">
        <f t="shared" si="11"/>
        <v>Ren</v>
      </c>
      <c r="E62" s="95" t="str">
        <f t="shared" si="12"/>
        <v>de</v>
      </c>
      <c r="F62" s="95" t="str">
        <f t="shared" si="13"/>
        <v>eng</v>
      </c>
      <c r="G62" s="95">
        <f t="shared" si="14"/>
        <v>10</v>
      </c>
    </row>
    <row r="63" spans="2:8" ht="21.9" customHeight="1" thickBot="1" x14ac:dyDescent="0.35">
      <c r="C63" s="93" t="s">
        <v>292</v>
      </c>
      <c r="D63" s="94" t="str">
        <f t="shared" si="11"/>
        <v>Mav</v>
      </c>
      <c r="E63" s="95" t="str">
        <f t="shared" si="12"/>
        <v>uh</v>
      </c>
      <c r="F63" s="95" t="str">
        <f t="shared" si="13"/>
        <v>avi</v>
      </c>
      <c r="G63" s="95">
        <f t="shared" si="14"/>
        <v>12</v>
      </c>
    </row>
    <row r="64" spans="2:8" ht="21.9" customHeight="1" thickBot="1" x14ac:dyDescent="0.35">
      <c r="C64" s="93" t="s">
        <v>293</v>
      </c>
      <c r="D64" s="94" t="str">
        <f t="shared" si="11"/>
        <v>Fai</v>
      </c>
      <c r="E64" s="95" t="str">
        <f t="shared" si="12"/>
        <v>an</v>
      </c>
      <c r="F64" s="95" t="str">
        <f t="shared" si="13"/>
        <v>aiz</v>
      </c>
      <c r="G64" s="95">
        <f t="shared" si="14"/>
        <v>15</v>
      </c>
    </row>
    <row r="65" spans="3:7" ht="21.9" customHeight="1" thickBot="1" x14ac:dyDescent="0.35">
      <c r="C65" s="93" t="s">
        <v>294</v>
      </c>
      <c r="D65" s="94" t="str">
        <f t="shared" si="11"/>
        <v>M R</v>
      </c>
      <c r="E65" s="95" t="str">
        <f t="shared" si="12"/>
        <v>do</v>
      </c>
      <c r="F65" s="95" t="str">
        <f t="shared" si="13"/>
        <v xml:space="preserve"> Ru</v>
      </c>
      <c r="G65" s="95">
        <f t="shared" si="14"/>
        <v>17</v>
      </c>
    </row>
    <row r="66" spans="3:7" ht="21.9" customHeight="1" thickBot="1" x14ac:dyDescent="0.35">
      <c r="C66" s="93" t="s">
        <v>289</v>
      </c>
      <c r="D66" s="94" t="str">
        <f t="shared" si="11"/>
        <v>Bra</v>
      </c>
      <c r="E66" s="95" t="str">
        <f t="shared" si="12"/>
        <v>ti</v>
      </c>
      <c r="F66" s="95" t="str">
        <f t="shared" si="13"/>
        <v>rah</v>
      </c>
      <c r="G66" s="95">
        <f t="shared" si="14"/>
        <v>12</v>
      </c>
    </row>
    <row r="67" spans="3:7" ht="21.9" customHeight="1" thickBot="1" x14ac:dyDescent="0.35">
      <c r="C67" s="93" t="s">
        <v>295</v>
      </c>
      <c r="D67" s="94" t="str">
        <f t="shared" si="11"/>
        <v>Rid</v>
      </c>
      <c r="E67" s="95" t="str">
        <f t="shared" si="12"/>
        <v>eh</v>
      </c>
      <c r="F67" s="95" t="str">
        <f t="shared" si="13"/>
        <v>idw</v>
      </c>
      <c r="G67" s="95">
        <f t="shared" si="14"/>
        <v>20</v>
      </c>
    </row>
    <row r="69" spans="3:7" x14ac:dyDescent="0.3">
      <c r="C69" s="86" t="s">
        <v>24</v>
      </c>
      <c r="D69" s="71"/>
      <c r="E69" s="71"/>
    </row>
    <row r="70" spans="3:7" x14ac:dyDescent="0.3">
      <c r="C70" s="71" t="s">
        <v>174</v>
      </c>
      <c r="D70" s="71"/>
      <c r="E70" s="71"/>
      <c r="G70" s="76"/>
    </row>
    <row r="71" spans="3:7" x14ac:dyDescent="0.3">
      <c r="C71" s="71" t="s">
        <v>175</v>
      </c>
      <c r="D71" s="71"/>
      <c r="E71" s="71"/>
      <c r="G71" s="77"/>
    </row>
    <row r="72" spans="3:7" x14ac:dyDescent="0.3">
      <c r="C72" s="71" t="s">
        <v>296</v>
      </c>
      <c r="D72" s="71"/>
      <c r="E72" s="71"/>
    </row>
    <row r="73" spans="3:7" x14ac:dyDescent="0.3">
      <c r="C73" s="71" t="s">
        <v>285</v>
      </c>
      <c r="D73" s="71"/>
      <c r="E73" s="71"/>
    </row>
  </sheetData>
  <mergeCells count="13">
    <mergeCell ref="G4:H4"/>
    <mergeCell ref="B45:C45"/>
    <mergeCell ref="B28:H28"/>
    <mergeCell ref="B29:H29"/>
    <mergeCell ref="B41:C41"/>
    <mergeCell ref="B42:C42"/>
    <mergeCell ref="B43:C43"/>
    <mergeCell ref="B44:C44"/>
    <mergeCell ref="C14:D14"/>
    <mergeCell ref="B4:B5"/>
    <mergeCell ref="C4:C5"/>
    <mergeCell ref="D4:E4"/>
    <mergeCell ref="F4:F5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B2:G18"/>
  <sheetViews>
    <sheetView workbookViewId="0">
      <selection activeCell="T9" sqref="T9"/>
    </sheetView>
  </sheetViews>
  <sheetFormatPr defaultRowHeight="14.4" x14ac:dyDescent="0.3"/>
  <cols>
    <col min="2" max="2" width="5" customWidth="1"/>
    <col min="3" max="3" width="6.6640625" customWidth="1"/>
    <col min="4" max="4" width="19.44140625" customWidth="1"/>
    <col min="5" max="6" width="11.6640625" customWidth="1"/>
  </cols>
  <sheetData>
    <row r="2" spans="2:7" ht="21" x14ac:dyDescent="0.4">
      <c r="B2" s="131" t="s">
        <v>271</v>
      </c>
    </row>
    <row r="4" spans="2:7" ht="20.100000000000001" customHeight="1" x14ac:dyDescent="0.3">
      <c r="B4" s="287" t="s">
        <v>129</v>
      </c>
      <c r="C4" s="288" t="s">
        <v>256</v>
      </c>
      <c r="D4" s="287" t="s">
        <v>257</v>
      </c>
      <c r="E4" s="287" t="s">
        <v>258</v>
      </c>
      <c r="F4" s="287"/>
      <c r="G4" s="287" t="s">
        <v>124</v>
      </c>
    </row>
    <row r="5" spans="2:7" ht="20.100000000000001" customHeight="1" x14ac:dyDescent="0.3">
      <c r="B5" s="287"/>
      <c r="C5" s="289"/>
      <c r="D5" s="287"/>
      <c r="E5" s="128" t="s">
        <v>259</v>
      </c>
      <c r="F5" s="128" t="s">
        <v>260</v>
      </c>
      <c r="G5" s="287"/>
    </row>
    <row r="6" spans="2:7" ht="20.100000000000001" customHeight="1" x14ac:dyDescent="0.3">
      <c r="B6" s="129">
        <v>1</v>
      </c>
      <c r="C6" s="129" t="s">
        <v>261</v>
      </c>
      <c r="D6" s="130" t="s">
        <v>262</v>
      </c>
      <c r="E6" s="130">
        <v>12</v>
      </c>
      <c r="F6" s="130">
        <v>13</v>
      </c>
      <c r="G6" s="130">
        <v>25</v>
      </c>
    </row>
    <row r="7" spans="2:7" ht="20.100000000000001" customHeight="1" x14ac:dyDescent="0.3">
      <c r="B7" s="129">
        <v>2</v>
      </c>
      <c r="C7" s="129" t="s">
        <v>263</v>
      </c>
      <c r="D7" s="130" t="s">
        <v>264</v>
      </c>
      <c r="E7" s="130">
        <v>11</v>
      </c>
      <c r="F7" s="130">
        <v>14</v>
      </c>
      <c r="G7" s="130">
        <v>25</v>
      </c>
    </row>
    <row r="8" spans="2:7" ht="20.100000000000001" customHeight="1" x14ac:dyDescent="0.3">
      <c r="B8" s="129">
        <v>3</v>
      </c>
      <c r="C8" s="129" t="s">
        <v>265</v>
      </c>
      <c r="D8" s="130" t="s">
        <v>266</v>
      </c>
      <c r="E8" s="130">
        <v>14</v>
      </c>
      <c r="F8" s="130">
        <v>11</v>
      </c>
      <c r="G8" s="130">
        <v>25</v>
      </c>
    </row>
    <row r="9" spans="2:7" ht="20.100000000000001" customHeight="1" x14ac:dyDescent="0.3">
      <c r="B9" s="129">
        <v>4</v>
      </c>
      <c r="C9" s="129" t="s">
        <v>267</v>
      </c>
      <c r="D9" s="130" t="s">
        <v>268</v>
      </c>
      <c r="E9" s="130">
        <v>10</v>
      </c>
      <c r="F9" s="130">
        <v>15</v>
      </c>
      <c r="G9" s="130">
        <v>25</v>
      </c>
    </row>
    <row r="10" spans="2:7" ht="20.100000000000001" customHeight="1" x14ac:dyDescent="0.3">
      <c r="B10" s="129">
        <v>5</v>
      </c>
      <c r="C10" s="129" t="s">
        <v>269</v>
      </c>
      <c r="D10" s="130" t="s">
        <v>270</v>
      </c>
      <c r="E10" s="130">
        <v>9</v>
      </c>
      <c r="F10" s="130">
        <v>16</v>
      </c>
      <c r="G10" s="130">
        <v>25</v>
      </c>
    </row>
    <row r="16" spans="2:7" x14ac:dyDescent="0.3">
      <c r="F16" s="134"/>
    </row>
    <row r="18" spans="6:6" x14ac:dyDescent="0.3">
      <c r="F18" s="134"/>
    </row>
  </sheetData>
  <mergeCells count="5">
    <mergeCell ref="B4:B5"/>
    <mergeCell ref="C4:C5"/>
    <mergeCell ref="D4:D5"/>
    <mergeCell ref="E4:F4"/>
    <mergeCell ref="G4:G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2:J92"/>
  <sheetViews>
    <sheetView showGridLines="0" topLeftCell="A66" workbookViewId="0">
      <selection activeCell="G83" sqref="G83"/>
    </sheetView>
  </sheetViews>
  <sheetFormatPr defaultColWidth="9.109375" defaultRowHeight="14.4" x14ac:dyDescent="0.3"/>
  <cols>
    <col min="1" max="1" width="10.6640625" style="1" bestFit="1" customWidth="1"/>
    <col min="2" max="2" width="11.33203125" style="1" customWidth="1"/>
    <col min="3" max="3" width="25.6640625" style="1" customWidth="1"/>
    <col min="4" max="4" width="25" style="1" customWidth="1"/>
    <col min="5" max="6" width="18.33203125" style="1" customWidth="1"/>
    <col min="7" max="10" width="22" style="1" customWidth="1"/>
    <col min="11" max="16384" width="9.109375" style="1"/>
  </cols>
  <sheetData>
    <row r="2" spans="2:7" ht="18" x14ac:dyDescent="0.35">
      <c r="C2" s="115" t="s">
        <v>178</v>
      </c>
      <c r="D2" s="97"/>
      <c r="E2" s="97"/>
      <c r="F2" s="97"/>
    </row>
    <row r="3" spans="2:7" ht="18" x14ac:dyDescent="0.35">
      <c r="C3" s="113" t="s">
        <v>213</v>
      </c>
      <c r="D3" s="113" t="s">
        <v>214</v>
      </c>
      <c r="E3" s="97"/>
      <c r="F3" s="97"/>
    </row>
    <row r="4" spans="2:7" ht="18" x14ac:dyDescent="0.35">
      <c r="C4" s="113"/>
      <c r="D4" s="113" t="s">
        <v>215</v>
      </c>
      <c r="E4" s="97"/>
      <c r="F4" s="97"/>
    </row>
    <row r="5" spans="2:7" ht="18" x14ac:dyDescent="0.35">
      <c r="C5" s="113"/>
      <c r="D5" s="113" t="s">
        <v>216</v>
      </c>
      <c r="E5" s="97"/>
      <c r="F5" s="97"/>
    </row>
    <row r="6" spans="2:7" ht="18" x14ac:dyDescent="0.35">
      <c r="C6" s="113" t="s">
        <v>217</v>
      </c>
      <c r="D6" s="113" t="s">
        <v>218</v>
      </c>
      <c r="E6" s="97"/>
      <c r="F6" s="97"/>
    </row>
    <row r="7" spans="2:7" ht="18" x14ac:dyDescent="0.35">
      <c r="B7" s="5"/>
      <c r="C7" s="97"/>
      <c r="D7" s="113" t="s">
        <v>219</v>
      </c>
      <c r="E7" s="97"/>
      <c r="F7" s="97"/>
    </row>
    <row r="10" spans="2:7" ht="20.100000000000001" customHeight="1" x14ac:dyDescent="0.45">
      <c r="B10" s="96" t="s">
        <v>178</v>
      </c>
    </row>
    <row r="11" spans="2:7" ht="20.100000000000001" customHeight="1" x14ac:dyDescent="0.3">
      <c r="B11" s="8" t="s">
        <v>59</v>
      </c>
      <c r="C11" s="8" t="s">
        <v>60</v>
      </c>
      <c r="D11" s="8" t="s">
        <v>61</v>
      </c>
      <c r="E11" s="10"/>
      <c r="F11" s="8" t="s">
        <v>62</v>
      </c>
      <c r="G11" s="8" t="s">
        <v>63</v>
      </c>
    </row>
    <row r="12" spans="2:7" ht="20.100000000000001" customHeight="1" x14ac:dyDescent="0.3">
      <c r="B12" s="9">
        <v>101</v>
      </c>
      <c r="C12" s="11" t="str">
        <f>IF(B12=101,"KEYBOARD","HARDISK")</f>
        <v>KEYBOARD</v>
      </c>
      <c r="D12" s="270">
        <f>IF(B12=101,50000,550000)</f>
        <v>50000</v>
      </c>
      <c r="E12" s="10"/>
      <c r="F12" s="9">
        <v>90</v>
      </c>
      <c r="G12" s="11" t="str">
        <f>IF(F12&gt;=50,"LULUS","TIDAK LULUS")</f>
        <v>LULUS</v>
      </c>
    </row>
    <row r="13" spans="2:7" ht="20.100000000000001" customHeight="1" x14ac:dyDescent="0.3">
      <c r="B13" s="9">
        <v>102</v>
      </c>
      <c r="C13" s="11" t="str">
        <f t="shared" ref="C13:C20" si="0">IF(B13=101,"KEYBOARD","HARDISK")</f>
        <v>HARDISK</v>
      </c>
      <c r="D13" s="270">
        <f t="shared" ref="D13:D20" si="1">IF(B13=101,50000,550000)</f>
        <v>550000</v>
      </c>
      <c r="E13" s="10"/>
      <c r="F13" s="9">
        <v>80</v>
      </c>
      <c r="G13" s="11" t="str">
        <f t="shared" ref="G13:G20" si="2">IF(F13&gt;=50,"LULUS","TIDAK LULUS")</f>
        <v>LULUS</v>
      </c>
    </row>
    <row r="14" spans="2:7" ht="20.100000000000001" customHeight="1" x14ac:dyDescent="0.3">
      <c r="B14" s="9">
        <v>101</v>
      </c>
      <c r="C14" s="11" t="str">
        <f t="shared" si="0"/>
        <v>KEYBOARD</v>
      </c>
      <c r="D14" s="270">
        <f t="shared" si="1"/>
        <v>50000</v>
      </c>
      <c r="E14" s="10"/>
      <c r="F14" s="9">
        <v>50</v>
      </c>
      <c r="G14" s="11" t="str">
        <f t="shared" si="2"/>
        <v>LULUS</v>
      </c>
    </row>
    <row r="15" spans="2:7" ht="20.100000000000001" customHeight="1" x14ac:dyDescent="0.3">
      <c r="B15" s="9">
        <v>101</v>
      </c>
      <c r="C15" s="11" t="str">
        <f t="shared" si="0"/>
        <v>KEYBOARD</v>
      </c>
      <c r="D15" s="270">
        <f t="shared" si="1"/>
        <v>50000</v>
      </c>
      <c r="E15" s="10"/>
      <c r="F15" s="9">
        <v>45</v>
      </c>
      <c r="G15" s="11" t="str">
        <f t="shared" si="2"/>
        <v>TIDAK LULUS</v>
      </c>
    </row>
    <row r="16" spans="2:7" ht="20.100000000000001" customHeight="1" x14ac:dyDescent="0.3">
      <c r="B16" s="9">
        <v>102</v>
      </c>
      <c r="C16" s="11" t="str">
        <f t="shared" si="0"/>
        <v>HARDISK</v>
      </c>
      <c r="D16" s="270">
        <f t="shared" si="1"/>
        <v>550000</v>
      </c>
      <c r="E16" s="10"/>
      <c r="F16" s="9">
        <v>65</v>
      </c>
      <c r="G16" s="11" t="str">
        <f t="shared" si="2"/>
        <v>LULUS</v>
      </c>
    </row>
    <row r="17" spans="2:7" ht="20.100000000000001" customHeight="1" x14ac:dyDescent="0.3">
      <c r="B17" s="9">
        <v>101</v>
      </c>
      <c r="C17" s="11" t="str">
        <f t="shared" si="0"/>
        <v>KEYBOARD</v>
      </c>
      <c r="D17" s="270">
        <f t="shared" si="1"/>
        <v>50000</v>
      </c>
      <c r="E17" s="10"/>
      <c r="F17" s="9">
        <v>30</v>
      </c>
      <c r="G17" s="11" t="str">
        <f t="shared" si="2"/>
        <v>TIDAK LULUS</v>
      </c>
    </row>
    <row r="18" spans="2:7" ht="20.100000000000001" customHeight="1" x14ac:dyDescent="0.3">
      <c r="B18" s="9">
        <v>102</v>
      </c>
      <c r="C18" s="11" t="str">
        <f t="shared" si="0"/>
        <v>HARDISK</v>
      </c>
      <c r="D18" s="270">
        <f t="shared" si="1"/>
        <v>550000</v>
      </c>
      <c r="E18" s="10"/>
      <c r="F18" s="9">
        <v>34</v>
      </c>
      <c r="G18" s="11" t="str">
        <f t="shared" si="2"/>
        <v>TIDAK LULUS</v>
      </c>
    </row>
    <row r="19" spans="2:7" ht="20.100000000000001" customHeight="1" x14ac:dyDescent="0.3">
      <c r="B19" s="9">
        <v>101</v>
      </c>
      <c r="C19" s="11" t="str">
        <f t="shared" si="0"/>
        <v>KEYBOARD</v>
      </c>
      <c r="D19" s="270">
        <f t="shared" si="1"/>
        <v>50000</v>
      </c>
      <c r="E19" s="10"/>
      <c r="F19" s="9">
        <v>45</v>
      </c>
      <c r="G19" s="11" t="str">
        <f t="shared" si="2"/>
        <v>TIDAK LULUS</v>
      </c>
    </row>
    <row r="20" spans="2:7" ht="20.100000000000001" customHeight="1" x14ac:dyDescent="0.3">
      <c r="B20" s="9">
        <v>102</v>
      </c>
      <c r="C20" s="11" t="str">
        <f t="shared" si="0"/>
        <v>HARDISK</v>
      </c>
      <c r="D20" s="270">
        <f t="shared" si="1"/>
        <v>550000</v>
      </c>
      <c r="E20" s="10"/>
      <c r="F20" s="9">
        <v>70</v>
      </c>
      <c r="G20" s="11" t="str">
        <f t="shared" si="2"/>
        <v>LULUS</v>
      </c>
    </row>
    <row r="21" spans="2:7" ht="8.25" customHeight="1" x14ac:dyDescent="0.3"/>
    <row r="22" spans="2:7" ht="20.100000000000001" customHeight="1" x14ac:dyDescent="0.35">
      <c r="B22" s="12" t="s">
        <v>64</v>
      </c>
      <c r="C22" s="2"/>
      <c r="D22" s="2"/>
      <c r="E22" s="2"/>
      <c r="F22" s="12" t="s">
        <v>65</v>
      </c>
      <c r="G22" s="2"/>
    </row>
    <row r="23" spans="2:7" ht="20.100000000000001" customHeight="1" x14ac:dyDescent="0.35">
      <c r="B23" s="2" t="s">
        <v>68</v>
      </c>
      <c r="C23" s="2"/>
      <c r="D23" s="2"/>
      <c r="E23" s="2"/>
      <c r="F23" s="13" t="s">
        <v>70</v>
      </c>
      <c r="G23" s="2"/>
    </row>
    <row r="24" spans="2:7" ht="20.100000000000001" customHeight="1" x14ac:dyDescent="0.35">
      <c r="B24" s="2" t="s">
        <v>69</v>
      </c>
      <c r="C24" s="2"/>
      <c r="D24" s="2"/>
      <c r="E24" s="2"/>
      <c r="F24" s="13" t="s">
        <v>71</v>
      </c>
      <c r="G24" s="2"/>
    </row>
    <row r="25" spans="2:7" ht="20.100000000000001" customHeight="1" x14ac:dyDescent="0.35">
      <c r="B25" s="2"/>
      <c r="C25" s="2"/>
      <c r="D25" s="2"/>
      <c r="E25" s="2"/>
      <c r="F25" s="13"/>
      <c r="G25" s="2"/>
    </row>
    <row r="26" spans="2:7" ht="20.100000000000001" customHeight="1" x14ac:dyDescent="0.35">
      <c r="B26" s="2"/>
      <c r="C26" s="2"/>
      <c r="D26" s="2"/>
      <c r="E26" s="2"/>
      <c r="F26" s="13"/>
      <c r="G26" s="2"/>
    </row>
    <row r="27" spans="2:7" ht="20.100000000000001" customHeight="1" x14ac:dyDescent="0.3"/>
    <row r="28" spans="2:7" ht="20.100000000000001" customHeight="1" x14ac:dyDescent="0.3">
      <c r="C28" s="120" t="s">
        <v>225</v>
      </c>
      <c r="D28" s="116"/>
      <c r="E28" s="97"/>
    </row>
    <row r="29" spans="2:7" ht="20.100000000000001" customHeight="1" x14ac:dyDescent="0.3">
      <c r="C29" s="116" t="s">
        <v>213</v>
      </c>
      <c r="D29" s="117" t="s">
        <v>220</v>
      </c>
      <c r="E29" s="97"/>
    </row>
    <row r="30" spans="2:7" ht="20.100000000000001" customHeight="1" x14ac:dyDescent="0.3"/>
    <row r="31" spans="2:7" ht="20.100000000000001" customHeight="1" x14ac:dyDescent="0.3">
      <c r="B31" s="8" t="s">
        <v>59</v>
      </c>
      <c r="C31" s="8" t="s">
        <v>60</v>
      </c>
      <c r="D31" s="8" t="s">
        <v>61</v>
      </c>
      <c r="E31" s="10"/>
      <c r="F31" s="8" t="s">
        <v>62</v>
      </c>
      <c r="G31" s="8" t="s">
        <v>63</v>
      </c>
    </row>
    <row r="32" spans="2:7" ht="20.100000000000001" customHeight="1" x14ac:dyDescent="0.3">
      <c r="B32" s="9">
        <v>101</v>
      </c>
      <c r="C32" s="11" cm="1">
        <f t="array" ref="C32">_xlfn.IFS(B12=101,50000,B12=102,550000,B12=103,2000000)</f>
        <v>50000</v>
      </c>
      <c r="D32" s="14" t="str" cm="1">
        <f t="array" ref="D32">_xlfn.IFS(B32=101,"KEYBOARD",B32=102,"HARDISK", B32=103,"CPU")</f>
        <v>KEYBOARD</v>
      </c>
      <c r="E32" s="10"/>
      <c r="F32" s="9">
        <v>90</v>
      </c>
      <c r="G32" s="11" t="str" cm="1">
        <f t="array" ref="G32">_xlfn.IFS(F32&gt;=60,"LULUS",F32&gt;=45,"HAMPIR LULUS",F32&lt;=44,"TIDAK LULUS")</f>
        <v>LULUS</v>
      </c>
    </row>
    <row r="33" spans="2:7" ht="20.100000000000001" customHeight="1" x14ac:dyDescent="0.3">
      <c r="B33" s="9">
        <v>102</v>
      </c>
      <c r="C33" s="11" cm="1">
        <f t="array" ref="C33">_xlfn.IFS(B13=101,50000,B13=102,550000,B13=103,2000000)</f>
        <v>550000</v>
      </c>
      <c r="D33" s="14" t="str" cm="1">
        <f t="array" ref="D33">_xlfn.IFS(B33=101,"KEYBOARD",B33=102,"HARDISK", B33=103,"CPU")</f>
        <v>HARDISK</v>
      </c>
      <c r="E33" s="10"/>
      <c r="F33" s="9">
        <v>80</v>
      </c>
      <c r="G33" s="11" t="str" cm="1">
        <f t="array" ref="G33">_xlfn.IFS(F33&gt;=60,"LULUS",F33&gt;=45,"HAMPIR LULUS",F33&lt;=44,"TIDAK LULUS")</f>
        <v>LULUS</v>
      </c>
    </row>
    <row r="34" spans="2:7" ht="20.100000000000001" customHeight="1" x14ac:dyDescent="0.3">
      <c r="B34" s="9">
        <v>103</v>
      </c>
      <c r="C34" s="11" cm="1">
        <f t="array" ref="C34">_xlfn.IFS(B14=101,50000,B14=102,550000,B14=103,2000000)</f>
        <v>50000</v>
      </c>
      <c r="D34" s="14" t="str" cm="1">
        <f t="array" ref="D34">_xlfn.IFS(B34=101,"KEYBOARD",B34=102,"HARDISK", B34=103,"CPU")</f>
        <v>CPU</v>
      </c>
      <c r="E34" s="10"/>
      <c r="F34" s="9">
        <v>50</v>
      </c>
      <c r="G34" s="11" t="str" cm="1">
        <f t="array" ref="G34">_xlfn.IFS(F34&gt;=60,"LULUS",F34&gt;=45,"HAMPIR LULUS",F34&lt;=44,"TIDAK LULUS")</f>
        <v>HAMPIR LULUS</v>
      </c>
    </row>
    <row r="35" spans="2:7" ht="20.100000000000001" customHeight="1" x14ac:dyDescent="0.3">
      <c r="B35" s="9">
        <v>102</v>
      </c>
      <c r="C35" s="11" cm="1">
        <f t="array" ref="C35">_xlfn.IFS(B15=101,50000,B15=102,550000,B15=103,2000000)</f>
        <v>50000</v>
      </c>
      <c r="D35" s="14" t="str" cm="1">
        <f t="array" ref="D35">_xlfn.IFS(B35=101,"KEYBOARD",B35=102,"HARDISK", B35=103,"CPU")</f>
        <v>HARDISK</v>
      </c>
      <c r="E35" s="10"/>
      <c r="F35" s="9">
        <v>45</v>
      </c>
      <c r="G35" s="11" t="str" cm="1">
        <f t="array" ref="G35">_xlfn.IFS(F35&gt;=60,"LULUS",F35&gt;=45,"HAMPIR LULUS",F35&lt;=44,"TIDAK LULUS")</f>
        <v>HAMPIR LULUS</v>
      </c>
    </row>
    <row r="36" spans="2:7" ht="20.100000000000001" customHeight="1" x14ac:dyDescent="0.3">
      <c r="B36" s="9">
        <v>103</v>
      </c>
      <c r="C36" s="11" cm="1">
        <f t="array" ref="C36">_xlfn.IFS(B16=101,50000,B16=102,550000,B16=103,2000000)</f>
        <v>550000</v>
      </c>
      <c r="D36" s="14" t="str" cm="1">
        <f t="array" ref="D36">_xlfn.IFS(B36=101,"KEYBOARD",B36=102,"HARDISK", B36=103,"CPU")</f>
        <v>CPU</v>
      </c>
      <c r="E36" s="10"/>
      <c r="F36" s="9">
        <v>65</v>
      </c>
      <c r="G36" s="11" t="str" cm="1">
        <f t="array" ref="G36">_xlfn.IFS(F36&gt;=60,"LULUS",F36&gt;=45,"HAMPIR LULUS",F36&lt;=44,"TIDAK LULUS")</f>
        <v>LULUS</v>
      </c>
    </row>
    <row r="37" spans="2:7" ht="20.100000000000001" customHeight="1" x14ac:dyDescent="0.3">
      <c r="B37" s="9">
        <v>103</v>
      </c>
      <c r="C37" s="11" cm="1">
        <f t="array" ref="C37">_xlfn.IFS(B17=101,50000,B17=102,550000,B17=103,2000000)</f>
        <v>50000</v>
      </c>
      <c r="D37" s="14" t="str" cm="1">
        <f t="array" ref="D37">_xlfn.IFS(B37=101,"KEYBOARD",B37=102,"HARDISK", B37=103,"CPU")</f>
        <v>CPU</v>
      </c>
      <c r="E37" s="10"/>
      <c r="F37" s="9">
        <v>30</v>
      </c>
      <c r="G37" s="11" t="str" cm="1">
        <f t="array" ref="G37">_xlfn.IFS(F37&gt;=60,"LULUS",F37&gt;=45,"HAMPIR LULUS",F37&lt;=44,"TIDAK LULUS")</f>
        <v>TIDAK LULUS</v>
      </c>
    </row>
    <row r="38" spans="2:7" ht="20.100000000000001" customHeight="1" x14ac:dyDescent="0.3">
      <c r="B38" s="9">
        <v>101</v>
      </c>
      <c r="C38" s="11" cm="1">
        <f t="array" ref="C38">_xlfn.IFS(B18=101,50000,B18=102,550000,B18=103,2000000)</f>
        <v>550000</v>
      </c>
      <c r="D38" s="14" t="str" cm="1">
        <f t="array" ref="D38">_xlfn.IFS(B38=101,"KEYBOARD",B38=102,"HARDISK", B38=103,"CPU")</f>
        <v>KEYBOARD</v>
      </c>
      <c r="E38" s="10"/>
      <c r="F38" s="9">
        <v>34</v>
      </c>
      <c r="G38" s="11" t="str" cm="1">
        <f t="array" ref="G38">_xlfn.IFS(F38&gt;=60,"LULUS",F38&gt;=45,"HAMPIR LULUS",F38&lt;=44,"TIDAK LULUS")</f>
        <v>TIDAK LULUS</v>
      </c>
    </row>
    <row r="39" spans="2:7" ht="20.100000000000001" customHeight="1" x14ac:dyDescent="0.3">
      <c r="B39" s="9">
        <v>102</v>
      </c>
      <c r="C39" s="11" cm="1">
        <f t="array" ref="C39">_xlfn.IFS(B19=101,50000,B19=102,550000,B19=103,2000000)</f>
        <v>50000</v>
      </c>
      <c r="D39" s="14" t="str" cm="1">
        <f t="array" ref="D39">_xlfn.IFS(B39=101,"KEYBOARD",B39=102,"HARDISK", B39=103,"CPU")</f>
        <v>HARDISK</v>
      </c>
      <c r="E39" s="10"/>
      <c r="F39" s="9">
        <v>45</v>
      </c>
      <c r="G39" s="11" t="str" cm="1">
        <f t="array" ref="G39">_xlfn.IFS(F39&gt;=60,"LULUS",F39&gt;=45,"HAMPIR LULUS",F39&lt;=44,"TIDAK LULUS")</f>
        <v>HAMPIR LULUS</v>
      </c>
    </row>
    <row r="40" spans="2:7" ht="20.100000000000001" customHeight="1" x14ac:dyDescent="0.3">
      <c r="B40" s="9">
        <v>101</v>
      </c>
      <c r="C40" s="11" cm="1">
        <f t="array" ref="C40">_xlfn.IFS(B20=101,50000,B20=102,550000,B20=103,2000000)</f>
        <v>550000</v>
      </c>
      <c r="D40" s="14" t="str" cm="1">
        <f t="array" ref="D40">_xlfn.IFS(B40=101,"KEYBOARD",B40=102,"HARDISK", B40=103,"CPU")</f>
        <v>KEYBOARD</v>
      </c>
      <c r="E40" s="10"/>
      <c r="F40" s="9">
        <v>70</v>
      </c>
      <c r="G40" s="11" t="str" cm="1">
        <f t="array" ref="G40">_xlfn.IFS(F40&gt;=60,"LULUS",F40&gt;=45,"HAMPIR LULUS",F40&lt;=44,"TIDAK LULUS")</f>
        <v>LULUS</v>
      </c>
    </row>
    <row r="41" spans="2:7" ht="8.25" customHeight="1" x14ac:dyDescent="0.3"/>
    <row r="42" spans="2:7" ht="20.100000000000001" customHeight="1" x14ac:dyDescent="0.35">
      <c r="B42" s="12" t="s">
        <v>64</v>
      </c>
      <c r="C42" s="2"/>
      <c r="D42" s="2"/>
      <c r="E42" s="2"/>
      <c r="F42" s="12" t="s">
        <v>65</v>
      </c>
      <c r="G42" s="2"/>
    </row>
    <row r="43" spans="2:7" ht="20.100000000000001" customHeight="1" x14ac:dyDescent="0.35">
      <c r="B43" s="2" t="s">
        <v>68</v>
      </c>
      <c r="C43" s="2"/>
      <c r="D43" s="2"/>
      <c r="E43" s="2"/>
      <c r="F43" s="13" t="s">
        <v>72</v>
      </c>
      <c r="G43" s="2"/>
    </row>
    <row r="44" spans="2:7" ht="20.100000000000001" customHeight="1" x14ac:dyDescent="0.35">
      <c r="B44" s="2" t="s">
        <v>69</v>
      </c>
      <c r="C44" s="2"/>
      <c r="D44" s="2"/>
      <c r="E44" s="2"/>
      <c r="F44" s="13" t="s">
        <v>73</v>
      </c>
      <c r="G44" s="2"/>
    </row>
    <row r="45" spans="2:7" ht="20.100000000000001" customHeight="1" x14ac:dyDescent="0.35">
      <c r="B45" s="2" t="s">
        <v>75</v>
      </c>
      <c r="F45" s="13" t="s">
        <v>76</v>
      </c>
    </row>
    <row r="46" spans="2:7" ht="20.100000000000001" customHeight="1" x14ac:dyDescent="0.3"/>
    <row r="47" spans="2:7" ht="20.100000000000001" customHeight="1" x14ac:dyDescent="0.3"/>
    <row r="48" spans="2:7" ht="20.100000000000001" customHeight="1" x14ac:dyDescent="0.3"/>
    <row r="49" spans="2:9" ht="20.100000000000001" customHeight="1" x14ac:dyDescent="0.35">
      <c r="B49" s="120" t="s">
        <v>221</v>
      </c>
      <c r="C49" s="118"/>
      <c r="D49" s="119"/>
      <c r="E49" s="119"/>
      <c r="F49" s="119"/>
    </row>
    <row r="50" spans="2:9" ht="20.100000000000001" customHeight="1" x14ac:dyDescent="0.35">
      <c r="B50" s="160" t="s">
        <v>222</v>
      </c>
      <c r="C50" s="161" t="s">
        <v>223</v>
      </c>
      <c r="D50" s="119"/>
      <c r="E50" s="119"/>
      <c r="F50" s="119"/>
    </row>
    <row r="51" spans="2:9" ht="20.100000000000001" customHeight="1" x14ac:dyDescent="0.35">
      <c r="B51" s="160"/>
      <c r="C51" s="161" t="s">
        <v>224</v>
      </c>
      <c r="D51" s="119"/>
      <c r="E51" s="119"/>
      <c r="F51" s="119"/>
    </row>
    <row r="52" spans="2:9" ht="20.100000000000001" customHeight="1" x14ac:dyDescent="0.3"/>
    <row r="53" spans="2:9" ht="20.100000000000001" customHeight="1" x14ac:dyDescent="0.45">
      <c r="B53" s="96" t="s">
        <v>177</v>
      </c>
      <c r="G53" s="96" t="s">
        <v>176</v>
      </c>
    </row>
    <row r="54" spans="2:9" ht="20.100000000000001" customHeight="1" x14ac:dyDescent="0.3">
      <c r="B54" s="8" t="s">
        <v>59</v>
      </c>
      <c r="C54" s="8" t="s">
        <v>60</v>
      </c>
      <c r="D54" s="8" t="s">
        <v>61</v>
      </c>
      <c r="E54" s="10"/>
      <c r="G54" s="8" t="s">
        <v>59</v>
      </c>
      <c r="H54" s="8" t="s">
        <v>60</v>
      </c>
      <c r="I54" s="8" t="s">
        <v>61</v>
      </c>
    </row>
    <row r="55" spans="2:9" ht="20.100000000000001" customHeight="1" x14ac:dyDescent="0.3">
      <c r="B55" s="9">
        <v>101</v>
      </c>
      <c r="C55" s="11" t="str">
        <f>VLOOKUP(B55,$B$65:$D$68,2,FALSE)</f>
        <v>KEYBOARD</v>
      </c>
      <c r="D55" s="14">
        <f>VLOOKUP(B55,$B$65:$D$68,3,FALSE)</f>
        <v>50000</v>
      </c>
      <c r="E55" s="10"/>
      <c r="G55" s="9">
        <v>101</v>
      </c>
      <c r="H55" s="11" t="str">
        <f>HLOOKUP(G55,$G$65:$J$67,2,FALSE)</f>
        <v>KEYBOARD</v>
      </c>
      <c r="I55" s="14">
        <f>HLOOKUP(G55,$G$65:$J$67,3,FALSE)</f>
        <v>50000</v>
      </c>
    </row>
    <row r="56" spans="2:9" ht="20.100000000000001" customHeight="1" x14ac:dyDescent="0.3">
      <c r="B56" s="9">
        <v>102</v>
      </c>
      <c r="C56" s="11" t="str">
        <f t="shared" ref="C56:C63" si="3">VLOOKUP(B56,$B$65:$D$68,2,FALSE)</f>
        <v>HARDISK</v>
      </c>
      <c r="D56" s="14">
        <f t="shared" ref="D56:D63" si="4">VLOOKUP(B56,$B$65:$D$68,3,FALSE)</f>
        <v>550000</v>
      </c>
      <c r="E56" s="10"/>
      <c r="G56" s="9">
        <v>102</v>
      </c>
      <c r="H56" s="11" t="str">
        <f t="shared" ref="H56:H63" si="5">HLOOKUP(G56,$G$65:$J$67,2,FALSE)</f>
        <v>HARDISK</v>
      </c>
      <c r="I56" s="14">
        <f t="shared" ref="I56:I63" si="6">HLOOKUP(G56,$G$65:$J$67,3,FALSE)</f>
        <v>550000</v>
      </c>
    </row>
    <row r="57" spans="2:9" ht="20.100000000000001" customHeight="1" x14ac:dyDescent="0.3">
      <c r="B57" s="9">
        <v>103</v>
      </c>
      <c r="C57" s="11" t="str">
        <f t="shared" si="3"/>
        <v>CPU</v>
      </c>
      <c r="D57" s="14">
        <f t="shared" si="4"/>
        <v>2000000</v>
      </c>
      <c r="E57" s="10"/>
      <c r="G57" s="9">
        <v>103</v>
      </c>
      <c r="H57" s="11" t="str">
        <f t="shared" si="5"/>
        <v>CPU</v>
      </c>
      <c r="I57" s="14">
        <f t="shared" si="6"/>
        <v>2000000</v>
      </c>
    </row>
    <row r="58" spans="2:9" ht="20.100000000000001" customHeight="1" x14ac:dyDescent="0.3">
      <c r="B58" s="9">
        <v>102</v>
      </c>
      <c r="C58" s="11" t="str">
        <f t="shared" si="3"/>
        <v>HARDISK</v>
      </c>
      <c r="D58" s="14">
        <f t="shared" si="4"/>
        <v>550000</v>
      </c>
      <c r="E58" s="10"/>
      <c r="G58" s="9">
        <v>102</v>
      </c>
      <c r="H58" s="11" t="str">
        <f t="shared" si="5"/>
        <v>HARDISK</v>
      </c>
      <c r="I58" s="14">
        <f t="shared" si="6"/>
        <v>550000</v>
      </c>
    </row>
    <row r="59" spans="2:9" ht="20.100000000000001" customHeight="1" x14ac:dyDescent="0.3">
      <c r="B59" s="9">
        <v>103</v>
      </c>
      <c r="C59" s="11" t="str">
        <f t="shared" si="3"/>
        <v>CPU</v>
      </c>
      <c r="D59" s="14">
        <f t="shared" si="4"/>
        <v>2000000</v>
      </c>
      <c r="E59" s="10"/>
      <c r="G59" s="9">
        <v>103</v>
      </c>
      <c r="H59" s="11" t="str">
        <f t="shared" si="5"/>
        <v>CPU</v>
      </c>
      <c r="I59" s="14">
        <f t="shared" si="6"/>
        <v>2000000</v>
      </c>
    </row>
    <row r="60" spans="2:9" ht="20.100000000000001" customHeight="1" x14ac:dyDescent="0.3">
      <c r="B60" s="9">
        <v>103</v>
      </c>
      <c r="C60" s="11" t="str">
        <f t="shared" si="3"/>
        <v>CPU</v>
      </c>
      <c r="D60" s="14">
        <f t="shared" si="4"/>
        <v>2000000</v>
      </c>
      <c r="E60" s="10"/>
      <c r="G60" s="9">
        <v>103</v>
      </c>
      <c r="H60" s="11" t="str">
        <f t="shared" si="5"/>
        <v>CPU</v>
      </c>
      <c r="I60" s="14">
        <f t="shared" si="6"/>
        <v>2000000</v>
      </c>
    </row>
    <row r="61" spans="2:9" ht="20.100000000000001" customHeight="1" x14ac:dyDescent="0.3">
      <c r="B61" s="9">
        <v>101</v>
      </c>
      <c r="C61" s="11" t="str">
        <f t="shared" si="3"/>
        <v>KEYBOARD</v>
      </c>
      <c r="D61" s="14">
        <f t="shared" si="4"/>
        <v>50000</v>
      </c>
      <c r="E61" s="10"/>
      <c r="G61" s="9">
        <v>101</v>
      </c>
      <c r="H61" s="11" t="str">
        <f t="shared" si="5"/>
        <v>KEYBOARD</v>
      </c>
      <c r="I61" s="14">
        <f t="shared" si="6"/>
        <v>50000</v>
      </c>
    </row>
    <row r="62" spans="2:9" ht="20.100000000000001" customHeight="1" x14ac:dyDescent="0.3">
      <c r="B62" s="9">
        <v>102</v>
      </c>
      <c r="C62" s="11" t="str">
        <f t="shared" si="3"/>
        <v>HARDISK</v>
      </c>
      <c r="D62" s="14">
        <f t="shared" si="4"/>
        <v>550000</v>
      </c>
      <c r="E62" s="10"/>
      <c r="G62" s="9">
        <v>102</v>
      </c>
      <c r="H62" s="11" t="str">
        <f t="shared" si="5"/>
        <v>HARDISK</v>
      </c>
      <c r="I62" s="14">
        <f t="shared" si="6"/>
        <v>550000</v>
      </c>
    </row>
    <row r="63" spans="2:9" ht="20.100000000000001" customHeight="1" x14ac:dyDescent="0.3">
      <c r="B63" s="9">
        <v>101</v>
      </c>
      <c r="C63" s="11" t="str">
        <f t="shared" si="3"/>
        <v>KEYBOARD</v>
      </c>
      <c r="D63" s="14">
        <f t="shared" si="4"/>
        <v>50000</v>
      </c>
      <c r="E63" s="10"/>
      <c r="G63" s="9">
        <v>101</v>
      </c>
      <c r="H63" s="11" t="str">
        <f t="shared" si="5"/>
        <v>KEYBOARD</v>
      </c>
      <c r="I63" s="14">
        <f t="shared" si="6"/>
        <v>50000</v>
      </c>
    </row>
    <row r="64" spans="2:9" ht="20.100000000000001" customHeight="1" x14ac:dyDescent="0.3"/>
    <row r="65" spans="1:10" ht="20.100000000000001" customHeight="1" x14ac:dyDescent="0.3">
      <c r="B65" s="8" t="s">
        <v>59</v>
      </c>
      <c r="C65" s="8" t="s">
        <v>63</v>
      </c>
      <c r="D65" s="8" t="s">
        <v>61</v>
      </c>
      <c r="G65" s="8" t="s">
        <v>59</v>
      </c>
      <c r="H65" s="8">
        <v>101</v>
      </c>
      <c r="I65" s="8">
        <v>102</v>
      </c>
      <c r="J65" s="8">
        <v>103</v>
      </c>
    </row>
    <row r="66" spans="1:10" ht="20.100000000000001" customHeight="1" x14ac:dyDescent="0.3">
      <c r="B66" s="8">
        <v>101</v>
      </c>
      <c r="C66" s="11" t="s">
        <v>66</v>
      </c>
      <c r="D66" s="18">
        <v>50000</v>
      </c>
      <c r="G66" s="8" t="s">
        <v>63</v>
      </c>
      <c r="H66" s="7" t="s">
        <v>66</v>
      </c>
      <c r="I66" s="7" t="s">
        <v>67</v>
      </c>
      <c r="J66" s="7" t="s">
        <v>74</v>
      </c>
    </row>
    <row r="67" spans="1:10" ht="20.100000000000001" customHeight="1" x14ac:dyDescent="0.3">
      <c r="B67" s="8">
        <v>102</v>
      </c>
      <c r="C67" s="11" t="s">
        <v>67</v>
      </c>
      <c r="D67" s="18">
        <v>550000</v>
      </c>
      <c r="G67" s="8" t="s">
        <v>61</v>
      </c>
      <c r="H67" s="19">
        <v>50000</v>
      </c>
      <c r="I67" s="19">
        <v>550000</v>
      </c>
      <c r="J67" s="19">
        <v>2000000</v>
      </c>
    </row>
    <row r="68" spans="1:10" ht="20.100000000000001" customHeight="1" x14ac:dyDescent="0.3">
      <c r="B68" s="8">
        <v>103</v>
      </c>
      <c r="C68" s="11" t="s">
        <v>74</v>
      </c>
      <c r="D68" s="18">
        <v>2000000</v>
      </c>
      <c r="F68" s="15"/>
      <c r="G68" s="16"/>
      <c r="H68" s="17"/>
    </row>
    <row r="69" spans="1:10" ht="20.100000000000001" customHeight="1" x14ac:dyDescent="0.3"/>
    <row r="70" spans="1:10" ht="20.100000000000001" customHeight="1" x14ac:dyDescent="0.3"/>
    <row r="71" spans="1:10" ht="20.100000000000001" customHeight="1" x14ac:dyDescent="0.3"/>
    <row r="72" spans="1:10" ht="20.100000000000001" customHeight="1" x14ac:dyDescent="0.3">
      <c r="A72" s="121" t="s">
        <v>199</v>
      </c>
      <c r="B72" s="111"/>
      <c r="C72" s="111"/>
      <c r="D72" s="43"/>
      <c r="E72" s="43"/>
      <c r="F72" s="43"/>
      <c r="G72" s="43"/>
    </row>
    <row r="73" spans="1:10" ht="20.100000000000001" customHeight="1" x14ac:dyDescent="0.3">
      <c r="A73" s="112" t="s">
        <v>200</v>
      </c>
      <c r="B73" s="111"/>
      <c r="C73" s="111"/>
      <c r="D73" s="43"/>
      <c r="E73" s="43"/>
      <c r="F73" s="43"/>
      <c r="G73" s="43"/>
    </row>
    <row r="74" spans="1:10" ht="20.100000000000001" customHeight="1" x14ac:dyDescent="0.3">
      <c r="A74" s="112" t="s">
        <v>201</v>
      </c>
      <c r="B74" s="111"/>
      <c r="C74" s="111"/>
      <c r="D74" s="43"/>
      <c r="E74" s="43"/>
      <c r="F74" s="43"/>
      <c r="G74" s="43"/>
    </row>
    <row r="75" spans="1:10" ht="20.100000000000001" customHeight="1" x14ac:dyDescent="0.3">
      <c r="B75" s="43"/>
      <c r="C75" s="43"/>
      <c r="D75" s="43"/>
      <c r="E75" s="43"/>
      <c r="F75" s="43"/>
      <c r="G75" s="43"/>
    </row>
    <row r="76" spans="1:10" ht="20.100000000000001" customHeight="1" x14ac:dyDescent="0.3">
      <c r="A76" s="271" t="s">
        <v>202</v>
      </c>
      <c r="B76" s="271" t="s">
        <v>203</v>
      </c>
      <c r="C76" s="272" t="s">
        <v>204</v>
      </c>
      <c r="D76" s="272" t="s">
        <v>210</v>
      </c>
      <c r="E76" s="272"/>
      <c r="F76" s="271" t="s">
        <v>64</v>
      </c>
      <c r="G76" s="43"/>
    </row>
    <row r="77" spans="1:10" ht="20.100000000000001" customHeight="1" x14ac:dyDescent="0.3">
      <c r="A77" s="271"/>
      <c r="B77" s="271"/>
      <c r="C77" s="272"/>
      <c r="D77" s="108" t="s">
        <v>205</v>
      </c>
      <c r="E77" s="108" t="s">
        <v>206</v>
      </c>
      <c r="F77" s="271"/>
      <c r="G77" s="43"/>
    </row>
    <row r="78" spans="1:10" ht="20.100000000000001" customHeight="1" x14ac:dyDescent="0.3">
      <c r="A78" s="107" t="s">
        <v>125</v>
      </c>
      <c r="B78" s="107" cm="1">
        <f t="array" ref="B78">_xlfn.IFS(A78="A", 4, A78="B", 3, A78="C", 2, A78="D",1)</f>
        <v>4</v>
      </c>
      <c r="C78" s="107">
        <v>8</v>
      </c>
      <c r="D78" s="317" t="b">
        <f>AND(B78&gt;=2,C78&gt;=5)</f>
        <v>1</v>
      </c>
      <c r="E78" s="317" t="b">
        <f>OR(B78&gt;=2,C78&gt;=5)</f>
        <v>1</v>
      </c>
      <c r="F78" s="317" t="str">
        <f>IF(E78=TRUE,"LULUS","TIDAK LULUS")</f>
        <v>LULUS</v>
      </c>
      <c r="G78" s="43"/>
    </row>
    <row r="79" spans="1:10" ht="20.100000000000001" customHeight="1" x14ac:dyDescent="0.3">
      <c r="A79" s="107" t="s">
        <v>207</v>
      </c>
      <c r="B79" s="107" cm="1">
        <f t="array" ref="B79">_xlfn.IFS(A79="A", 4, A79="B", 3, A79="C", 2, A79="D",1)</f>
        <v>3</v>
      </c>
      <c r="C79" s="107">
        <v>7</v>
      </c>
      <c r="D79" s="317" t="b">
        <f t="shared" ref="D79:D86" si="7">AND(B79&gt;=2,C79&gt;=5)</f>
        <v>1</v>
      </c>
      <c r="E79" s="317" t="b">
        <f t="shared" ref="E79:E86" si="8">OR(B79&gt;=2,C79&gt;=5)</f>
        <v>1</v>
      </c>
      <c r="F79" s="317" t="str">
        <f t="shared" ref="F79:F86" si="9">IF(E79=TRUE,"LULUS","TIDAK LULUS")</f>
        <v>LULUS</v>
      </c>
      <c r="G79" s="43"/>
    </row>
    <row r="80" spans="1:10" ht="20.100000000000001" customHeight="1" x14ac:dyDescent="0.3">
      <c r="A80" s="107" t="s">
        <v>208</v>
      </c>
      <c r="B80" s="107" cm="1">
        <f t="array" ref="B80">_xlfn.IFS(A80="A", 4, A80="B", 3, A80="C", 2, A80="D",1)</f>
        <v>2</v>
      </c>
      <c r="C80" s="107">
        <v>5</v>
      </c>
      <c r="D80" s="317" t="b">
        <f t="shared" si="7"/>
        <v>1</v>
      </c>
      <c r="E80" s="317" t="b">
        <f t="shared" si="8"/>
        <v>1</v>
      </c>
      <c r="F80" s="317" t="str">
        <f t="shared" si="9"/>
        <v>LULUS</v>
      </c>
      <c r="G80" s="43"/>
    </row>
    <row r="81" spans="1:7" ht="20.100000000000001" customHeight="1" x14ac:dyDescent="0.3">
      <c r="A81" s="107" t="s">
        <v>125</v>
      </c>
      <c r="B81" s="107" cm="1">
        <f t="array" ref="B81">_xlfn.IFS(A81="A", 4, A81="B", 3, A81="C", 2, A81="D",1)</f>
        <v>4</v>
      </c>
      <c r="C81" s="107">
        <v>6</v>
      </c>
      <c r="D81" s="317" t="b">
        <f t="shared" si="7"/>
        <v>1</v>
      </c>
      <c r="E81" s="317" t="b">
        <f t="shared" si="8"/>
        <v>1</v>
      </c>
      <c r="F81" s="317" t="str">
        <f t="shared" si="9"/>
        <v>LULUS</v>
      </c>
      <c r="G81" s="43"/>
    </row>
    <row r="82" spans="1:7" ht="20.100000000000001" customHeight="1" x14ac:dyDescent="0.3">
      <c r="A82" s="107" t="s">
        <v>207</v>
      </c>
      <c r="B82" s="107" cm="1">
        <f t="array" ref="B82">_xlfn.IFS(A82="A", 4, A82="B", 3, A82="C", 2, A82="D",1)</f>
        <v>3</v>
      </c>
      <c r="C82" s="107">
        <v>8</v>
      </c>
      <c r="D82" s="317" t="b">
        <f t="shared" si="7"/>
        <v>1</v>
      </c>
      <c r="E82" s="317" t="b">
        <f t="shared" si="8"/>
        <v>1</v>
      </c>
      <c r="F82" s="317" t="str">
        <f t="shared" si="9"/>
        <v>LULUS</v>
      </c>
      <c r="G82" s="43"/>
    </row>
    <row r="83" spans="1:7" ht="20.100000000000001" customHeight="1" x14ac:dyDescent="0.3">
      <c r="A83" s="107" t="s">
        <v>207</v>
      </c>
      <c r="B83" s="107" cm="1">
        <f t="array" ref="B83">_xlfn.IFS(A83="A", 4, A83="B", 3, A83="C", 2, A83="D",1)</f>
        <v>3</v>
      </c>
      <c r="C83" s="107">
        <v>8</v>
      </c>
      <c r="D83" s="317" t="b">
        <f t="shared" si="7"/>
        <v>1</v>
      </c>
      <c r="E83" s="317" t="b">
        <f t="shared" si="8"/>
        <v>1</v>
      </c>
      <c r="F83" s="317" t="str">
        <f t="shared" si="9"/>
        <v>LULUS</v>
      </c>
      <c r="G83" s="43"/>
    </row>
    <row r="84" spans="1:7" ht="20.100000000000001" customHeight="1" x14ac:dyDescent="0.3">
      <c r="A84" s="107" t="s">
        <v>209</v>
      </c>
      <c r="B84" s="107" cm="1">
        <f t="array" ref="B84">_xlfn.IFS(A84="A", 4, A84="B", 3, A84="C", 2, A84="D",1)</f>
        <v>1</v>
      </c>
      <c r="C84" s="107">
        <v>8</v>
      </c>
      <c r="D84" s="317" t="b">
        <f t="shared" si="7"/>
        <v>0</v>
      </c>
      <c r="E84" s="317" t="b">
        <f t="shared" si="8"/>
        <v>1</v>
      </c>
      <c r="F84" s="317" t="str">
        <f t="shared" si="9"/>
        <v>LULUS</v>
      </c>
      <c r="G84" s="43"/>
    </row>
    <row r="85" spans="1:7" ht="20.100000000000001" customHeight="1" x14ac:dyDescent="0.3">
      <c r="A85" s="107" t="s">
        <v>125</v>
      </c>
      <c r="B85" s="107" cm="1">
        <f t="array" ref="B85">_xlfn.IFS(A85="A", 4, A85="B", 3, A85="C", 2, A85="D",1)</f>
        <v>4</v>
      </c>
      <c r="C85" s="107">
        <v>5</v>
      </c>
      <c r="D85" s="317" t="b">
        <f t="shared" si="7"/>
        <v>1</v>
      </c>
      <c r="E85" s="317" t="b">
        <f t="shared" si="8"/>
        <v>1</v>
      </c>
      <c r="F85" s="317" t="str">
        <f t="shared" si="9"/>
        <v>LULUS</v>
      </c>
      <c r="G85" s="43"/>
    </row>
    <row r="86" spans="1:7" ht="20.100000000000001" customHeight="1" x14ac:dyDescent="0.3">
      <c r="A86" s="107" t="s">
        <v>209</v>
      </c>
      <c r="B86" s="107" cm="1">
        <f t="array" ref="B86">_xlfn.IFS(A86="A", 4, A86="B", 3, A86="C", 2, A86="D",1)</f>
        <v>1</v>
      </c>
      <c r="C86" s="107">
        <v>4</v>
      </c>
      <c r="D86" s="317" t="b">
        <f t="shared" si="7"/>
        <v>0</v>
      </c>
      <c r="E86" s="317" t="b">
        <f t="shared" si="8"/>
        <v>0</v>
      </c>
      <c r="F86" s="317" t="str">
        <f t="shared" si="9"/>
        <v>TIDAK LULUS</v>
      </c>
      <c r="G86" s="43"/>
    </row>
    <row r="87" spans="1:7" ht="20.100000000000001" customHeight="1" x14ac:dyDescent="0.3">
      <c r="A87" s="43"/>
      <c r="B87" s="43"/>
      <c r="C87" s="43"/>
      <c r="D87" s="43"/>
      <c r="E87" s="43"/>
      <c r="F87" s="43"/>
      <c r="G87" s="43"/>
    </row>
    <row r="88" spans="1:7" ht="20.100000000000001" customHeight="1" x14ac:dyDescent="0.3">
      <c r="A88" s="110" t="s">
        <v>65</v>
      </c>
      <c r="B88" s="71"/>
      <c r="C88" s="71"/>
      <c r="D88" s="43"/>
      <c r="E88" s="43"/>
      <c r="F88" s="43"/>
      <c r="G88" s="43"/>
    </row>
    <row r="89" spans="1:7" ht="20.100000000000001" customHeight="1" x14ac:dyDescent="0.3">
      <c r="A89" s="110" t="s">
        <v>211</v>
      </c>
      <c r="B89" s="71"/>
      <c r="C89" s="71"/>
      <c r="D89" s="43"/>
      <c r="E89" s="43"/>
      <c r="F89" s="43"/>
      <c r="G89" s="43"/>
    </row>
    <row r="90" spans="1:7" ht="20.100000000000001" customHeight="1" x14ac:dyDescent="0.3">
      <c r="A90" s="110" t="s">
        <v>232</v>
      </c>
      <c r="B90" s="71"/>
      <c r="C90" s="71"/>
      <c r="D90" s="43"/>
      <c r="E90" s="43"/>
      <c r="F90" s="43"/>
      <c r="G90" s="43"/>
    </row>
    <row r="91" spans="1:7" ht="20.100000000000001" customHeight="1" x14ac:dyDescent="0.3">
      <c r="A91" s="43"/>
      <c r="B91" s="43"/>
      <c r="C91" s="43"/>
      <c r="D91" s="43"/>
      <c r="E91" s="43"/>
      <c r="F91" s="43"/>
      <c r="G91" s="43"/>
    </row>
    <row r="92" spans="1:7" ht="20.100000000000001" customHeight="1" x14ac:dyDescent="0.3">
      <c r="A92" s="43"/>
      <c r="B92" s="43"/>
      <c r="C92" s="43"/>
      <c r="D92" s="43"/>
      <c r="E92" s="43"/>
      <c r="F92" s="43"/>
      <c r="G92" s="43"/>
    </row>
  </sheetData>
  <mergeCells count="5">
    <mergeCell ref="A76:A77"/>
    <mergeCell ref="B76:B77"/>
    <mergeCell ref="C76:C77"/>
    <mergeCell ref="D76:E76"/>
    <mergeCell ref="F76:F77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B3:J44"/>
  <sheetViews>
    <sheetView topLeftCell="A10" workbookViewId="0">
      <selection activeCell="L17" sqref="L17"/>
    </sheetView>
  </sheetViews>
  <sheetFormatPr defaultColWidth="9.109375" defaultRowHeight="14.4" x14ac:dyDescent="0.3"/>
  <cols>
    <col min="1" max="1" width="9.109375" style="43"/>
    <col min="2" max="2" width="23.5546875" style="43" customWidth="1"/>
    <col min="3" max="3" width="14.33203125" style="43" customWidth="1"/>
    <col min="4" max="4" width="19.44140625" style="43" customWidth="1"/>
    <col min="5" max="5" width="16.44140625" style="43" customWidth="1"/>
    <col min="6" max="7" width="19.44140625" style="43" customWidth="1"/>
    <col min="8" max="8" width="13.77734375" style="43" bestFit="1" customWidth="1"/>
    <col min="9" max="9" width="19.21875" style="43" bestFit="1" customWidth="1"/>
    <col min="10" max="10" width="18.44140625" style="43" bestFit="1" customWidth="1"/>
    <col min="11" max="16384" width="9.109375" style="43"/>
  </cols>
  <sheetData>
    <row r="3" spans="2:10" ht="21" x14ac:dyDescent="0.3">
      <c r="B3" s="290" t="s">
        <v>198</v>
      </c>
      <c r="C3" s="290"/>
      <c r="D3" s="290"/>
      <c r="E3" s="290"/>
      <c r="F3" s="290"/>
      <c r="G3" s="290"/>
      <c r="H3" s="290"/>
      <c r="I3" s="290"/>
    </row>
    <row r="4" spans="2:10" ht="21" x14ac:dyDescent="0.3">
      <c r="B4" s="290" t="s">
        <v>179</v>
      </c>
      <c r="C4" s="290"/>
      <c r="D4" s="290"/>
      <c r="E4" s="290"/>
      <c r="F4" s="290"/>
      <c r="G4" s="290"/>
      <c r="H4" s="290"/>
      <c r="I4" s="290"/>
    </row>
    <row r="5" spans="2:10" ht="21" x14ac:dyDescent="0.3">
      <c r="B5" s="290" t="s">
        <v>300</v>
      </c>
      <c r="C5" s="290"/>
      <c r="D5" s="290"/>
      <c r="E5" s="290"/>
      <c r="F5" s="290"/>
      <c r="G5" s="290"/>
      <c r="H5" s="290"/>
      <c r="I5" s="290"/>
    </row>
    <row r="7" spans="2:10" ht="20.100000000000001" customHeight="1" x14ac:dyDescent="0.3">
      <c r="B7" s="272" t="s">
        <v>180</v>
      </c>
      <c r="C7" s="122" t="s">
        <v>59</v>
      </c>
      <c r="D7" s="122" t="s">
        <v>0</v>
      </c>
      <c r="E7" s="122" t="s">
        <v>181</v>
      </c>
      <c r="F7" s="122" t="s">
        <v>182</v>
      </c>
      <c r="G7" s="122" t="s">
        <v>61</v>
      </c>
      <c r="H7" s="122" t="s">
        <v>183</v>
      </c>
      <c r="I7" s="122" t="s">
        <v>184</v>
      </c>
      <c r="J7" s="291" t="s">
        <v>301</v>
      </c>
    </row>
    <row r="8" spans="2:10" ht="20.100000000000001" customHeight="1" x14ac:dyDescent="0.3">
      <c r="B8" s="272"/>
      <c r="C8" s="123" t="s">
        <v>60</v>
      </c>
      <c r="D8" s="123" t="s">
        <v>60</v>
      </c>
      <c r="E8" s="123" t="s">
        <v>60</v>
      </c>
      <c r="F8" s="123" t="s">
        <v>185</v>
      </c>
      <c r="G8" s="123" t="s">
        <v>132</v>
      </c>
      <c r="H8" s="123" t="s">
        <v>186</v>
      </c>
      <c r="I8" s="123" t="s">
        <v>132</v>
      </c>
      <c r="J8" s="292"/>
    </row>
    <row r="9" spans="2:10" ht="20.100000000000001" customHeight="1" x14ac:dyDescent="0.3">
      <c r="B9" s="155">
        <v>41366</v>
      </c>
      <c r="C9" s="108">
        <v>102</v>
      </c>
      <c r="D9" s="318" t="str">
        <f>VLOOKUP(C9,$B$25:$D$28,2,FALSE)</f>
        <v>HARDISK</v>
      </c>
      <c r="E9" s="108">
        <v>11</v>
      </c>
      <c r="F9" s="321">
        <f>VLOOKUP(C9,$B$25:$D$28,3,FALSE)</f>
        <v>550000</v>
      </c>
      <c r="G9" s="321">
        <f>F9*E9</f>
        <v>6050000</v>
      </c>
      <c r="H9" s="322">
        <f>HLOOKUP(C9,$F$25:$I$26,2,FALSE)</f>
        <v>7.4999999999999997E-2</v>
      </c>
      <c r="I9" s="321">
        <f>G9-(G9*H9)</f>
        <v>5596250</v>
      </c>
      <c r="J9" s="318" t="str">
        <f>IF(B9&lt;=DATE(2013,4,10),HLOOKUP(D9,$B$40:$E$41,2,FALSE),"CD BLANK")</f>
        <v>VCD</v>
      </c>
    </row>
    <row r="10" spans="2:10" ht="20.100000000000001" customHeight="1" x14ac:dyDescent="0.3">
      <c r="B10" s="155">
        <v>41368</v>
      </c>
      <c r="C10" s="108">
        <v>101</v>
      </c>
      <c r="D10" s="318" t="str">
        <f t="shared" ref="D10:D18" si="0">VLOOKUP(C10,$B$25:$D$28,2,FALSE)</f>
        <v>KEYBOARD</v>
      </c>
      <c r="E10" s="108">
        <v>14</v>
      </c>
      <c r="F10" s="321">
        <f t="shared" ref="F10:F18" si="1">VLOOKUP(C10,$B$25:$D$28,3,FALSE)</f>
        <v>50000</v>
      </c>
      <c r="G10" s="321">
        <f t="shared" ref="G10:G18" si="2">F10*E10</f>
        <v>700000</v>
      </c>
      <c r="H10" s="322">
        <f t="shared" ref="H10:H18" si="3">HLOOKUP(C10,$F$25:$I$26,2,FALSE)</f>
        <v>0.1</v>
      </c>
      <c r="I10" s="321">
        <f t="shared" ref="I10:I18" si="4">G10-(G10*H10)</f>
        <v>630000</v>
      </c>
      <c r="J10" s="318" t="str">
        <f t="shared" ref="J10:J18" si="5">IF(B10&lt;=DATE(2013,4,10),HLOOKUP(D10,$B$40:$E$41,2,FALSE),"CD BLANK")</f>
        <v>Cover Comp</v>
      </c>
    </row>
    <row r="11" spans="2:10" ht="20.100000000000001" customHeight="1" x14ac:dyDescent="0.3">
      <c r="B11" s="155">
        <v>41369</v>
      </c>
      <c r="C11" s="108">
        <v>101</v>
      </c>
      <c r="D11" s="318" t="str">
        <f t="shared" si="0"/>
        <v>KEYBOARD</v>
      </c>
      <c r="E11" s="108">
        <v>7</v>
      </c>
      <c r="F11" s="321">
        <f t="shared" si="1"/>
        <v>50000</v>
      </c>
      <c r="G11" s="321">
        <f t="shared" si="2"/>
        <v>350000</v>
      </c>
      <c r="H11" s="322">
        <f t="shared" si="3"/>
        <v>0.1</v>
      </c>
      <c r="I11" s="321">
        <f t="shared" si="4"/>
        <v>315000</v>
      </c>
      <c r="J11" s="318" t="str">
        <f t="shared" si="5"/>
        <v>Cover Comp</v>
      </c>
    </row>
    <row r="12" spans="2:10" ht="20.100000000000001" customHeight="1" x14ac:dyDescent="0.3">
      <c r="B12" s="155">
        <v>41371</v>
      </c>
      <c r="C12" s="108">
        <v>103</v>
      </c>
      <c r="D12" s="318" t="str">
        <f t="shared" si="0"/>
        <v>MONITOR</v>
      </c>
      <c r="E12" s="108">
        <v>2</v>
      </c>
      <c r="F12" s="321">
        <f t="shared" si="1"/>
        <v>2000000</v>
      </c>
      <c r="G12" s="321">
        <f t="shared" si="2"/>
        <v>4000000</v>
      </c>
      <c r="H12" s="322">
        <f t="shared" si="3"/>
        <v>0.05</v>
      </c>
      <c r="I12" s="321">
        <f t="shared" si="4"/>
        <v>3800000</v>
      </c>
      <c r="J12" s="318" t="str">
        <f t="shared" si="5"/>
        <v>Speaker Active</v>
      </c>
    </row>
    <row r="13" spans="2:10" ht="20.100000000000001" customHeight="1" x14ac:dyDescent="0.3">
      <c r="B13" s="155">
        <v>41372</v>
      </c>
      <c r="C13" s="108">
        <v>102</v>
      </c>
      <c r="D13" s="318" t="str">
        <f t="shared" si="0"/>
        <v>HARDISK</v>
      </c>
      <c r="E13" s="108">
        <v>6</v>
      </c>
      <c r="F13" s="321">
        <f t="shared" si="1"/>
        <v>550000</v>
      </c>
      <c r="G13" s="321">
        <f t="shared" si="2"/>
        <v>3300000</v>
      </c>
      <c r="H13" s="322">
        <f t="shared" si="3"/>
        <v>7.4999999999999997E-2</v>
      </c>
      <c r="I13" s="321">
        <f t="shared" si="4"/>
        <v>3052500</v>
      </c>
      <c r="J13" s="318" t="str">
        <f t="shared" si="5"/>
        <v>VCD</v>
      </c>
    </row>
    <row r="14" spans="2:10" ht="20.100000000000001" customHeight="1" x14ac:dyDescent="0.3">
      <c r="B14" s="155">
        <v>41375</v>
      </c>
      <c r="C14" s="108">
        <v>101</v>
      </c>
      <c r="D14" s="318" t="str">
        <f t="shared" si="0"/>
        <v>KEYBOARD</v>
      </c>
      <c r="E14" s="108">
        <v>4</v>
      </c>
      <c r="F14" s="321">
        <f t="shared" si="1"/>
        <v>50000</v>
      </c>
      <c r="G14" s="321">
        <f t="shared" si="2"/>
        <v>200000</v>
      </c>
      <c r="H14" s="322">
        <f t="shared" si="3"/>
        <v>0.1</v>
      </c>
      <c r="I14" s="321">
        <f t="shared" si="4"/>
        <v>180000</v>
      </c>
      <c r="J14" s="318" t="str">
        <f t="shared" si="5"/>
        <v>CD BLANK</v>
      </c>
    </row>
    <row r="15" spans="2:10" ht="20.100000000000001" customHeight="1" x14ac:dyDescent="0.3">
      <c r="B15" s="155">
        <v>41378</v>
      </c>
      <c r="C15" s="108">
        <v>103</v>
      </c>
      <c r="D15" s="318" t="str">
        <f t="shared" si="0"/>
        <v>MONITOR</v>
      </c>
      <c r="E15" s="108">
        <v>19</v>
      </c>
      <c r="F15" s="321">
        <f t="shared" si="1"/>
        <v>2000000</v>
      </c>
      <c r="G15" s="321">
        <f t="shared" si="2"/>
        <v>38000000</v>
      </c>
      <c r="H15" s="322">
        <f t="shared" si="3"/>
        <v>0.05</v>
      </c>
      <c r="I15" s="321">
        <f t="shared" si="4"/>
        <v>36100000</v>
      </c>
      <c r="J15" s="318" t="str">
        <f t="shared" si="5"/>
        <v>CD BLANK</v>
      </c>
    </row>
    <row r="16" spans="2:10" ht="20.100000000000001" customHeight="1" x14ac:dyDescent="0.3">
      <c r="B16" s="155">
        <v>41380</v>
      </c>
      <c r="C16" s="108">
        <v>102</v>
      </c>
      <c r="D16" s="318" t="str">
        <f t="shared" si="0"/>
        <v>HARDISK</v>
      </c>
      <c r="E16" s="108">
        <v>10</v>
      </c>
      <c r="F16" s="321">
        <f t="shared" si="1"/>
        <v>550000</v>
      </c>
      <c r="G16" s="321">
        <f t="shared" si="2"/>
        <v>5500000</v>
      </c>
      <c r="H16" s="322">
        <f t="shared" si="3"/>
        <v>7.4999999999999997E-2</v>
      </c>
      <c r="I16" s="321">
        <f t="shared" si="4"/>
        <v>5087500</v>
      </c>
      <c r="J16" s="318" t="str">
        <f t="shared" si="5"/>
        <v>CD BLANK</v>
      </c>
    </row>
    <row r="17" spans="2:10" ht="20.100000000000001" customHeight="1" x14ac:dyDescent="0.3">
      <c r="B17" s="155">
        <v>41384</v>
      </c>
      <c r="C17" s="108">
        <v>103</v>
      </c>
      <c r="D17" s="318" t="str">
        <f t="shared" si="0"/>
        <v>MONITOR</v>
      </c>
      <c r="E17" s="108">
        <v>20</v>
      </c>
      <c r="F17" s="321">
        <f t="shared" si="1"/>
        <v>2000000</v>
      </c>
      <c r="G17" s="321">
        <f t="shared" si="2"/>
        <v>40000000</v>
      </c>
      <c r="H17" s="322">
        <f t="shared" si="3"/>
        <v>0.05</v>
      </c>
      <c r="I17" s="321">
        <f t="shared" si="4"/>
        <v>38000000</v>
      </c>
      <c r="J17" s="318" t="str">
        <f t="shared" si="5"/>
        <v>CD BLANK</v>
      </c>
    </row>
    <row r="18" spans="2:10" ht="20.100000000000001" customHeight="1" x14ac:dyDescent="0.3">
      <c r="B18" s="155">
        <v>41389</v>
      </c>
      <c r="C18" s="108">
        <v>102</v>
      </c>
      <c r="D18" s="318" t="str">
        <f t="shared" si="0"/>
        <v>HARDISK</v>
      </c>
      <c r="E18" s="108">
        <v>8</v>
      </c>
      <c r="F18" s="321">
        <f t="shared" si="1"/>
        <v>550000</v>
      </c>
      <c r="G18" s="321">
        <f t="shared" si="2"/>
        <v>4400000</v>
      </c>
      <c r="H18" s="322">
        <f t="shared" si="3"/>
        <v>7.4999999999999997E-2</v>
      </c>
      <c r="I18" s="321">
        <f t="shared" si="4"/>
        <v>4070000</v>
      </c>
      <c r="J18" s="318" t="str">
        <f t="shared" si="5"/>
        <v>CD BLANK</v>
      </c>
    </row>
    <row r="19" spans="2:10" ht="20.100000000000001" customHeight="1" x14ac:dyDescent="0.3">
      <c r="B19" s="109" t="s">
        <v>132</v>
      </c>
      <c r="C19" s="98"/>
      <c r="D19" s="99"/>
      <c r="E19" s="319">
        <f>SUM(E9:E18)</f>
        <v>101</v>
      </c>
      <c r="F19" s="319"/>
      <c r="G19" s="319"/>
      <c r="H19" s="319"/>
      <c r="I19" s="320">
        <f>SUM(I9:I18)</f>
        <v>96831250</v>
      </c>
      <c r="J19" s="99"/>
    </row>
    <row r="20" spans="2:10" ht="20.100000000000001" customHeight="1" x14ac:dyDescent="0.3">
      <c r="B20" s="109" t="s">
        <v>187</v>
      </c>
      <c r="C20" s="98"/>
      <c r="D20" s="99"/>
      <c r="E20" s="319">
        <f>SUMIF(D9:D18,"HARDISK",E9:E18)</f>
        <v>35</v>
      </c>
      <c r="F20" s="319"/>
      <c r="G20" s="319"/>
      <c r="H20" s="319"/>
      <c r="I20" s="320">
        <f>SUMIF(D9:D18,"HARDISK",I9:I18)</f>
        <v>17806250</v>
      </c>
      <c r="J20" s="99"/>
    </row>
    <row r="21" spans="2:10" ht="20.100000000000001" customHeight="1" x14ac:dyDescent="0.3">
      <c r="B21" s="109" t="s">
        <v>188</v>
      </c>
      <c r="C21" s="98"/>
      <c r="D21" s="99"/>
      <c r="E21" s="319">
        <f>SUMIF(D9:D18,"MONITOR",E9:E18)</f>
        <v>41</v>
      </c>
      <c r="F21" s="319"/>
      <c r="G21" s="319"/>
      <c r="H21" s="319"/>
      <c r="I21" s="320">
        <f>SUMIF(D9:D18,"MONITOR",I9:I18)</f>
        <v>77900000</v>
      </c>
      <c r="J21" s="99"/>
    </row>
    <row r="22" spans="2:10" ht="20.100000000000001" customHeight="1" x14ac:dyDescent="0.3">
      <c r="B22" s="109" t="s">
        <v>189</v>
      </c>
      <c r="C22" s="98"/>
      <c r="D22" s="99"/>
      <c r="E22" s="319">
        <f>SUMIF(D9:D18,"KEYBOARD",E9:E18)</f>
        <v>25</v>
      </c>
      <c r="F22" s="319"/>
      <c r="G22" s="319"/>
      <c r="H22" s="319"/>
      <c r="I22" s="320">
        <f>SUMIF(D9:D18,"KEYBOARD",I9:I18)</f>
        <v>1125000</v>
      </c>
      <c r="J22" s="99"/>
    </row>
    <row r="24" spans="2:10" ht="18" x14ac:dyDescent="0.3">
      <c r="B24" s="100" t="s">
        <v>190</v>
      </c>
      <c r="F24" s="100" t="s">
        <v>191</v>
      </c>
    </row>
    <row r="25" spans="2:10" ht="20.100000000000001" customHeight="1" x14ac:dyDescent="0.3">
      <c r="B25" s="101" t="s">
        <v>59</v>
      </c>
      <c r="C25" s="101" t="s">
        <v>60</v>
      </c>
      <c r="D25" s="101" t="s">
        <v>61</v>
      </c>
      <c r="F25" s="102" t="s">
        <v>59</v>
      </c>
      <c r="G25" s="101">
        <v>101</v>
      </c>
      <c r="H25" s="101">
        <v>102</v>
      </c>
      <c r="I25" s="101">
        <v>103</v>
      </c>
    </row>
    <row r="26" spans="2:10" ht="20.100000000000001" customHeight="1" x14ac:dyDescent="0.3">
      <c r="B26" s="101">
        <v>101</v>
      </c>
      <c r="C26" s="103" t="s">
        <v>66</v>
      </c>
      <c r="D26" s="104">
        <v>50000</v>
      </c>
      <c r="F26" s="102" t="s">
        <v>133</v>
      </c>
      <c r="G26" s="105">
        <v>0.1</v>
      </c>
      <c r="H26" s="106">
        <v>7.4999999999999997E-2</v>
      </c>
      <c r="I26" s="105">
        <v>0.05</v>
      </c>
    </row>
    <row r="27" spans="2:10" ht="20.100000000000001" customHeight="1" x14ac:dyDescent="0.3">
      <c r="B27" s="101">
        <v>102</v>
      </c>
      <c r="C27" s="103" t="s">
        <v>67</v>
      </c>
      <c r="D27" s="104">
        <v>550000</v>
      </c>
    </row>
    <row r="28" spans="2:10" ht="20.100000000000001" customHeight="1" x14ac:dyDescent="0.3">
      <c r="B28" s="101">
        <v>103</v>
      </c>
      <c r="C28" s="103" t="s">
        <v>134</v>
      </c>
      <c r="D28" s="104">
        <v>2000000</v>
      </c>
    </row>
    <row r="31" spans="2:10" x14ac:dyDescent="0.3">
      <c r="B31" s="71" t="s">
        <v>24</v>
      </c>
      <c r="C31" s="71"/>
      <c r="D31" s="71"/>
      <c r="E31" s="71"/>
      <c r="F31" s="71"/>
      <c r="G31" s="71"/>
      <c r="H31" s="71"/>
    </row>
    <row r="32" spans="2:10" x14ac:dyDescent="0.3">
      <c r="B32" s="71" t="s">
        <v>192</v>
      </c>
      <c r="C32" s="71"/>
      <c r="D32" s="71"/>
      <c r="E32" s="71"/>
      <c r="F32" s="71"/>
      <c r="G32" s="71"/>
      <c r="H32" s="71"/>
    </row>
    <row r="33" spans="2:8" x14ac:dyDescent="0.3">
      <c r="B33" s="71" t="s">
        <v>193</v>
      </c>
      <c r="C33" s="71"/>
      <c r="D33" s="71"/>
      <c r="E33" s="71"/>
      <c r="F33" s="71"/>
      <c r="G33" s="71"/>
      <c r="H33" s="71"/>
    </row>
    <row r="34" spans="2:8" x14ac:dyDescent="0.3">
      <c r="B34" s="71" t="s">
        <v>194</v>
      </c>
      <c r="C34" s="71"/>
      <c r="D34" s="71"/>
      <c r="E34" s="71"/>
      <c r="F34" s="71"/>
      <c r="G34" s="71"/>
      <c r="H34" s="71"/>
    </row>
    <row r="35" spans="2:8" x14ac:dyDescent="0.3">
      <c r="B35" s="71" t="s">
        <v>195</v>
      </c>
      <c r="C35" s="71"/>
      <c r="D35" s="71"/>
      <c r="E35" s="71"/>
      <c r="F35" s="71"/>
      <c r="G35" s="71"/>
      <c r="H35" s="71"/>
    </row>
    <row r="36" spans="2:8" x14ac:dyDescent="0.3">
      <c r="B36" s="71" t="s">
        <v>196</v>
      </c>
      <c r="C36" s="71"/>
      <c r="D36" s="71"/>
      <c r="E36" s="71"/>
      <c r="F36" s="71"/>
      <c r="G36" s="71"/>
      <c r="H36" s="71"/>
    </row>
    <row r="37" spans="2:8" x14ac:dyDescent="0.3">
      <c r="B37" s="71" t="s">
        <v>197</v>
      </c>
      <c r="C37" s="71"/>
      <c r="D37" s="71"/>
      <c r="E37" s="71"/>
      <c r="F37" s="71"/>
      <c r="G37" s="71"/>
      <c r="H37" s="71"/>
    </row>
    <row r="38" spans="2:8" x14ac:dyDescent="0.3">
      <c r="B38" s="71"/>
      <c r="C38" s="71"/>
      <c r="D38" s="71"/>
      <c r="E38" s="71"/>
      <c r="F38" s="71"/>
      <c r="G38" s="71"/>
      <c r="H38" s="71"/>
    </row>
    <row r="39" spans="2:8" x14ac:dyDescent="0.25">
      <c r="B39" s="156" t="s">
        <v>226</v>
      </c>
      <c r="C39" s="157"/>
      <c r="D39" s="157"/>
      <c r="E39" s="157"/>
      <c r="F39" s="71"/>
      <c r="G39" s="71"/>
      <c r="H39" s="71"/>
    </row>
    <row r="40" spans="2:8" ht="20.100000000000001" customHeight="1" x14ac:dyDescent="0.25">
      <c r="B40" s="159" t="s">
        <v>227</v>
      </c>
      <c r="C40" s="158" t="s">
        <v>66</v>
      </c>
      <c r="D40" s="158" t="s">
        <v>67</v>
      </c>
      <c r="E40" s="158" t="s">
        <v>134</v>
      </c>
      <c r="F40" s="71"/>
      <c r="G40" s="71"/>
      <c r="H40" s="71"/>
    </row>
    <row r="41" spans="2:8" ht="20.100000000000001" customHeight="1" x14ac:dyDescent="0.25">
      <c r="B41" s="159" t="s">
        <v>228</v>
      </c>
      <c r="C41" s="158" t="s">
        <v>229</v>
      </c>
      <c r="D41" s="158" t="s">
        <v>230</v>
      </c>
      <c r="E41" s="158" t="s">
        <v>231</v>
      </c>
      <c r="F41" s="71"/>
      <c r="G41" s="71"/>
      <c r="H41" s="71"/>
    </row>
    <row r="42" spans="2:8" x14ac:dyDescent="0.25">
      <c r="B42" s="157" t="s">
        <v>302</v>
      </c>
      <c r="C42" s="157"/>
      <c r="D42" s="157"/>
      <c r="E42" s="157"/>
      <c r="F42" s="71"/>
      <c r="G42" s="71"/>
      <c r="H42" s="71"/>
    </row>
    <row r="43" spans="2:8" x14ac:dyDescent="0.25">
      <c r="B43" s="157" t="s">
        <v>303</v>
      </c>
      <c r="C43" s="157"/>
      <c r="D43" s="157"/>
      <c r="E43" s="157"/>
      <c r="F43" s="71"/>
      <c r="G43" s="71"/>
      <c r="H43" s="71"/>
    </row>
    <row r="44" spans="2:8" x14ac:dyDescent="0.25">
      <c r="B44" s="157"/>
      <c r="C44" s="157"/>
      <c r="D44" s="157"/>
      <c r="E44" s="157"/>
      <c r="F44" s="71"/>
      <c r="G44" s="71"/>
      <c r="H44" s="71"/>
    </row>
  </sheetData>
  <mergeCells count="5">
    <mergeCell ref="B7:B8"/>
    <mergeCell ref="B3:I3"/>
    <mergeCell ref="B4:I4"/>
    <mergeCell ref="B5:I5"/>
    <mergeCell ref="J7:J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B2:M64"/>
  <sheetViews>
    <sheetView showGridLines="0" topLeftCell="A33" zoomScale="70" zoomScaleNormal="70" workbookViewId="0">
      <selection activeCell="G60" sqref="G60"/>
    </sheetView>
  </sheetViews>
  <sheetFormatPr defaultColWidth="9.109375" defaultRowHeight="14.4" x14ac:dyDescent="0.3"/>
  <cols>
    <col min="1" max="1" width="9.109375" style="1"/>
    <col min="2" max="2" width="5.88671875" style="1" customWidth="1"/>
    <col min="3" max="3" width="20.109375" style="1" customWidth="1"/>
    <col min="4" max="6" width="14.5546875" style="1" customWidth="1"/>
    <col min="7" max="8" width="19.109375" style="1" customWidth="1"/>
    <col min="9" max="9" width="11.109375" style="1" bestFit="1" customWidth="1"/>
    <col min="10" max="10" width="17.44140625" style="1" bestFit="1" customWidth="1"/>
    <col min="11" max="13" width="19.109375" style="1" customWidth="1"/>
    <col min="14" max="16384" width="9.109375" style="1"/>
  </cols>
  <sheetData>
    <row r="2" spans="2:13" ht="28.8" x14ac:dyDescent="0.55000000000000004">
      <c r="B2" s="4"/>
    </row>
    <row r="4" spans="2:13" ht="20.100000000000001" customHeight="1" x14ac:dyDescent="0.35">
      <c r="B4" s="5" t="s">
        <v>123</v>
      </c>
    </row>
    <row r="5" spans="2:13" x14ac:dyDescent="0.3">
      <c r="B5" s="293" t="s">
        <v>77</v>
      </c>
      <c r="C5" s="293" t="s">
        <v>78</v>
      </c>
      <c r="D5" s="293" t="s">
        <v>79</v>
      </c>
      <c r="E5" s="293" t="s">
        <v>80</v>
      </c>
      <c r="F5" s="293" t="s">
        <v>81</v>
      </c>
      <c r="G5" s="293" t="s">
        <v>82</v>
      </c>
      <c r="H5" s="293" t="s">
        <v>83</v>
      </c>
      <c r="I5" s="293" t="s">
        <v>84</v>
      </c>
      <c r="J5" s="293" t="s">
        <v>85</v>
      </c>
      <c r="K5" s="293" t="s">
        <v>86</v>
      </c>
      <c r="L5" s="293" t="s">
        <v>87</v>
      </c>
      <c r="M5" s="293" t="s">
        <v>88</v>
      </c>
    </row>
    <row r="6" spans="2:13" x14ac:dyDescent="0.3">
      <c r="B6" s="293"/>
      <c r="C6" s="293"/>
      <c r="D6" s="293"/>
      <c r="E6" s="293"/>
      <c r="F6" s="293"/>
      <c r="G6" s="293"/>
      <c r="H6" s="293"/>
      <c r="I6" s="293"/>
      <c r="J6" s="293"/>
      <c r="K6" s="293"/>
      <c r="L6" s="293"/>
      <c r="M6" s="293"/>
    </row>
    <row r="7" spans="2:13" ht="20.100000000000001" customHeight="1" x14ac:dyDescent="0.3">
      <c r="B7" s="30">
        <v>1</v>
      </c>
      <c r="C7" s="31" t="s">
        <v>14</v>
      </c>
      <c r="D7" s="32" t="s">
        <v>90</v>
      </c>
      <c r="E7" s="33" t="s">
        <v>91</v>
      </c>
      <c r="F7" s="32">
        <v>2</v>
      </c>
      <c r="G7" s="34" t="str" cm="1">
        <f t="array" ref="G7">_xlfn.IFS(D7="I","STAF",D7="II","KASUBAG",D7="III","KABAG",D7="IV","DIREKSI")</f>
        <v>STAF</v>
      </c>
      <c r="H7" s="323">
        <f>VLOOKUP(D7,$C$24:$F$28,2,FALSE)</f>
        <v>1500000</v>
      </c>
      <c r="I7" s="323">
        <f>IF(E7="NIKAH",VLOOKUP(D7,$C$24:$F$28,4,FALSE),0)</f>
        <v>250000</v>
      </c>
      <c r="J7" s="323">
        <f>IF(F7&lt;=3,VLOOKUP(D7,$C$24:$F$28,3,FALSE)*F7,VLOOKUP(D7,$C$24:$F$28,3,FALSE)*4)</f>
        <v>300000</v>
      </c>
      <c r="K7" s="323">
        <f>HLOOKUP(G7,$H$23:$L$24,2,FALSE)</f>
        <v>250000</v>
      </c>
      <c r="L7" s="35" t="str">
        <f>HLOOKUP(G7,$H$27:$L$28,2,FALSE)</f>
        <v>MIKROLET</v>
      </c>
      <c r="M7" s="323">
        <f>SUM(H7:K7)</f>
        <v>2300000</v>
      </c>
    </row>
    <row r="8" spans="2:13" ht="20.100000000000001" customHeight="1" x14ac:dyDescent="0.3">
      <c r="B8" s="30">
        <v>2</v>
      </c>
      <c r="C8" s="31" t="s">
        <v>15</v>
      </c>
      <c r="D8" s="32" t="s">
        <v>92</v>
      </c>
      <c r="E8" s="33" t="s">
        <v>91</v>
      </c>
      <c r="F8" s="32">
        <v>4</v>
      </c>
      <c r="G8" s="34" t="str" cm="1">
        <f t="array" ref="G8">_xlfn.IFS(D8="I","STAF",D8="II","KASUBAG",D8="III","KABAG",D8="IV","DIREKSI")</f>
        <v>DIREKSI</v>
      </c>
      <c r="H8" s="323">
        <f t="shared" ref="H8:H16" si="0">VLOOKUP(D8,$C$24:$F$28,2,FALSE)</f>
        <v>3000000</v>
      </c>
      <c r="I8" s="323">
        <f t="shared" ref="I8:I16" si="1">IF(E8="NIKAH",VLOOKUP(D8,$C$24:$F$28,4,FALSE),0)</f>
        <v>1000000</v>
      </c>
      <c r="J8" s="323">
        <f t="shared" ref="J8:J16" si="2">IF(F8&lt;=3,VLOOKUP(D8,$C$24:$F$28,3,FALSE)*F8,VLOOKUP(D8,$C$24:$F$28,3,FALSE)*4)</f>
        <v>1200000</v>
      </c>
      <c r="K8" s="323">
        <f t="shared" ref="K8:K16" si="3">HLOOKUP(G8,$H$23:$L$24,2,FALSE)</f>
        <v>1000000</v>
      </c>
      <c r="L8" s="35" t="str">
        <f t="shared" ref="L8:L16" si="4">HLOOKUP(G8,$H$27:$L$28,2,FALSE)</f>
        <v>MOBIL</v>
      </c>
      <c r="M8" s="323">
        <f t="shared" ref="M8:M15" si="5">SUM(H8:K8)</f>
        <v>6200000</v>
      </c>
    </row>
    <row r="9" spans="2:13" ht="20.100000000000001" customHeight="1" x14ac:dyDescent="0.3">
      <c r="B9" s="30">
        <v>3</v>
      </c>
      <c r="C9" s="31" t="s">
        <v>16</v>
      </c>
      <c r="D9" s="32" t="s">
        <v>93</v>
      </c>
      <c r="E9" s="33" t="s">
        <v>91</v>
      </c>
      <c r="F9" s="32">
        <v>0</v>
      </c>
      <c r="G9" s="34" t="str" cm="1">
        <f t="array" ref="G9">_xlfn.IFS(D9="I","STAF",D9="II","KASUBAG",D9="III","KABAG",D9="IV","DIREKSI")</f>
        <v>KABAG</v>
      </c>
      <c r="H9" s="323">
        <f t="shared" si="0"/>
        <v>2500000</v>
      </c>
      <c r="I9" s="323">
        <f t="shared" si="1"/>
        <v>750000</v>
      </c>
      <c r="J9" s="323">
        <f t="shared" si="2"/>
        <v>0</v>
      </c>
      <c r="K9" s="323">
        <f t="shared" si="3"/>
        <v>750000</v>
      </c>
      <c r="L9" s="35" t="str">
        <f t="shared" si="4"/>
        <v>MOTOR</v>
      </c>
      <c r="M9" s="323">
        <f t="shared" si="5"/>
        <v>4000000</v>
      </c>
    </row>
    <row r="10" spans="2:13" ht="20.100000000000001" customHeight="1" x14ac:dyDescent="0.3">
      <c r="B10" s="30">
        <v>4</v>
      </c>
      <c r="C10" s="31" t="s">
        <v>17</v>
      </c>
      <c r="D10" s="32" t="s">
        <v>94</v>
      </c>
      <c r="E10" s="33" t="s">
        <v>95</v>
      </c>
      <c r="F10" s="32">
        <v>2</v>
      </c>
      <c r="G10" s="34" t="str" cm="1">
        <f t="array" ref="G10">_xlfn.IFS(D10="I","STAF",D10="II","KASUBAG",D10="III","KABAG",D10="IV","DIREKSI")</f>
        <v>KASUBAG</v>
      </c>
      <c r="H10" s="323">
        <f t="shared" si="0"/>
        <v>2000000</v>
      </c>
      <c r="I10" s="323">
        <f t="shared" si="1"/>
        <v>0</v>
      </c>
      <c r="J10" s="323">
        <f t="shared" si="2"/>
        <v>400000</v>
      </c>
      <c r="K10" s="323">
        <f t="shared" si="3"/>
        <v>500000</v>
      </c>
      <c r="L10" s="35" t="str">
        <f t="shared" si="4"/>
        <v>BUS PABRIK</v>
      </c>
      <c r="M10" s="323">
        <f t="shared" si="5"/>
        <v>2900000</v>
      </c>
    </row>
    <row r="11" spans="2:13" ht="20.100000000000001" customHeight="1" x14ac:dyDescent="0.3">
      <c r="B11" s="30">
        <v>5</v>
      </c>
      <c r="C11" s="31" t="s">
        <v>18</v>
      </c>
      <c r="D11" s="32" t="s">
        <v>93</v>
      </c>
      <c r="E11" s="33" t="s">
        <v>91</v>
      </c>
      <c r="F11" s="32">
        <v>0</v>
      </c>
      <c r="G11" s="34" t="str" cm="1">
        <f t="array" ref="G11">_xlfn.IFS(D11="I","STAF",D11="II","KASUBAG",D11="III","KABAG",D11="IV","DIREKSI")</f>
        <v>KABAG</v>
      </c>
      <c r="H11" s="323">
        <f t="shared" si="0"/>
        <v>2500000</v>
      </c>
      <c r="I11" s="323">
        <f t="shared" si="1"/>
        <v>750000</v>
      </c>
      <c r="J11" s="323">
        <f t="shared" si="2"/>
        <v>0</v>
      </c>
      <c r="K11" s="323">
        <f t="shared" si="3"/>
        <v>750000</v>
      </c>
      <c r="L11" s="35" t="str">
        <f t="shared" si="4"/>
        <v>MOTOR</v>
      </c>
      <c r="M11" s="323">
        <f t="shared" si="5"/>
        <v>4000000</v>
      </c>
    </row>
    <row r="12" spans="2:13" ht="20.100000000000001" customHeight="1" x14ac:dyDescent="0.3">
      <c r="B12" s="30">
        <v>6</v>
      </c>
      <c r="C12" s="31" t="s">
        <v>19</v>
      </c>
      <c r="D12" s="32" t="s">
        <v>90</v>
      </c>
      <c r="E12" s="33" t="s">
        <v>95</v>
      </c>
      <c r="F12" s="32">
        <v>0</v>
      </c>
      <c r="G12" s="34" t="str" cm="1">
        <f t="array" ref="G12">_xlfn.IFS(D12="I","STAF",D12="II","KASUBAG",D12="III","KABAG",D12="IV","DIREKSI")</f>
        <v>STAF</v>
      </c>
      <c r="H12" s="323">
        <f t="shared" si="0"/>
        <v>1500000</v>
      </c>
      <c r="I12" s="323">
        <f t="shared" si="1"/>
        <v>0</v>
      </c>
      <c r="J12" s="323">
        <f t="shared" si="2"/>
        <v>0</v>
      </c>
      <c r="K12" s="323">
        <f t="shared" si="3"/>
        <v>250000</v>
      </c>
      <c r="L12" s="35" t="str">
        <f t="shared" si="4"/>
        <v>MIKROLET</v>
      </c>
      <c r="M12" s="323">
        <f t="shared" si="5"/>
        <v>1750000</v>
      </c>
    </row>
    <row r="13" spans="2:13" ht="20.100000000000001" customHeight="1" x14ac:dyDescent="0.3">
      <c r="B13" s="30">
        <v>7</v>
      </c>
      <c r="C13" s="31" t="s">
        <v>20</v>
      </c>
      <c r="D13" s="32" t="s">
        <v>94</v>
      </c>
      <c r="E13" s="33" t="s">
        <v>95</v>
      </c>
      <c r="F13" s="32">
        <v>0</v>
      </c>
      <c r="G13" s="34" t="str" cm="1">
        <f t="array" ref="G13">_xlfn.IFS(D13="I","STAF",D13="II","KASUBAG",D13="III","KABAG",D13="IV","DIREKSI")</f>
        <v>KASUBAG</v>
      </c>
      <c r="H13" s="323">
        <f t="shared" si="0"/>
        <v>2000000</v>
      </c>
      <c r="I13" s="323">
        <f t="shared" si="1"/>
        <v>0</v>
      </c>
      <c r="J13" s="323">
        <f t="shared" si="2"/>
        <v>0</v>
      </c>
      <c r="K13" s="323">
        <f t="shared" si="3"/>
        <v>500000</v>
      </c>
      <c r="L13" s="35" t="str">
        <f t="shared" si="4"/>
        <v>BUS PABRIK</v>
      </c>
      <c r="M13" s="323">
        <f t="shared" si="5"/>
        <v>2500000</v>
      </c>
    </row>
    <row r="14" spans="2:13" ht="20.100000000000001" customHeight="1" x14ac:dyDescent="0.3">
      <c r="B14" s="30">
        <v>8</v>
      </c>
      <c r="C14" s="31" t="s">
        <v>21</v>
      </c>
      <c r="D14" s="32" t="s">
        <v>92</v>
      </c>
      <c r="E14" s="33" t="s">
        <v>91</v>
      </c>
      <c r="F14" s="32">
        <v>6</v>
      </c>
      <c r="G14" s="34" t="str" cm="1">
        <f t="array" ref="G14">_xlfn.IFS(D14="I","STAF",D14="II","KASUBAG",D14="III","KABAG",D14="IV","DIREKSI")</f>
        <v>DIREKSI</v>
      </c>
      <c r="H14" s="323">
        <f t="shared" si="0"/>
        <v>3000000</v>
      </c>
      <c r="I14" s="323">
        <f t="shared" si="1"/>
        <v>1000000</v>
      </c>
      <c r="J14" s="323">
        <f t="shared" si="2"/>
        <v>1200000</v>
      </c>
      <c r="K14" s="323">
        <f t="shared" si="3"/>
        <v>1000000</v>
      </c>
      <c r="L14" s="35" t="str">
        <f t="shared" si="4"/>
        <v>MOBIL</v>
      </c>
      <c r="M14" s="323">
        <f t="shared" si="5"/>
        <v>6200000</v>
      </c>
    </row>
    <row r="15" spans="2:13" ht="20.100000000000001" customHeight="1" x14ac:dyDescent="0.3">
      <c r="B15" s="30">
        <v>9</v>
      </c>
      <c r="C15" s="31" t="s">
        <v>22</v>
      </c>
      <c r="D15" s="32" t="s">
        <v>93</v>
      </c>
      <c r="E15" s="33" t="s">
        <v>91</v>
      </c>
      <c r="F15" s="32">
        <v>1</v>
      </c>
      <c r="G15" s="34" t="str" cm="1">
        <f t="array" ref="G15">_xlfn.IFS(D15="I","STAF",D15="II","KASUBAG",D15="III","KABAG",D15="IV","DIREKSI")</f>
        <v>KABAG</v>
      </c>
      <c r="H15" s="323">
        <f t="shared" si="0"/>
        <v>2500000</v>
      </c>
      <c r="I15" s="323">
        <f t="shared" si="1"/>
        <v>750000</v>
      </c>
      <c r="J15" s="323">
        <f t="shared" si="2"/>
        <v>250000</v>
      </c>
      <c r="K15" s="323">
        <f t="shared" si="3"/>
        <v>750000</v>
      </c>
      <c r="L15" s="35" t="str">
        <f t="shared" si="4"/>
        <v>MOTOR</v>
      </c>
      <c r="M15" s="323">
        <f t="shared" si="5"/>
        <v>4250000</v>
      </c>
    </row>
    <row r="16" spans="2:13" ht="20.100000000000001" customHeight="1" x14ac:dyDescent="0.3">
      <c r="B16" s="30">
        <v>10</v>
      </c>
      <c r="C16" s="31" t="s">
        <v>23</v>
      </c>
      <c r="D16" s="32" t="s">
        <v>94</v>
      </c>
      <c r="E16" s="33" t="s">
        <v>91</v>
      </c>
      <c r="F16" s="32">
        <v>1</v>
      </c>
      <c r="G16" s="34" t="str" cm="1">
        <f t="array" ref="G16">_xlfn.IFS(D16="I","STAF",D16="II","KASUBAG",D16="III","KABAG",D16="IV","DIREKSI")</f>
        <v>KASUBAG</v>
      </c>
      <c r="H16" s="323">
        <f t="shared" si="0"/>
        <v>2000000</v>
      </c>
      <c r="I16" s="323">
        <f t="shared" si="1"/>
        <v>500000</v>
      </c>
      <c r="J16" s="323">
        <f t="shared" si="2"/>
        <v>200000</v>
      </c>
      <c r="K16" s="323">
        <f t="shared" si="3"/>
        <v>500000</v>
      </c>
      <c r="L16" s="35" t="str">
        <f t="shared" si="4"/>
        <v>BUS PABRIK</v>
      </c>
      <c r="M16" s="323">
        <f>SUM(H16:K16)</f>
        <v>3200000</v>
      </c>
    </row>
    <row r="17" spans="2:13" ht="20.100000000000001" customHeight="1" x14ac:dyDescent="0.3"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2"/>
    </row>
    <row r="18" spans="2:13" ht="20.100000000000001" customHeight="1" x14ac:dyDescent="0.3">
      <c r="B18" s="21"/>
      <c r="C18" s="31" t="s">
        <v>96</v>
      </c>
      <c r="D18" s="20">
        <f>COUNTIF(D7:D16,"I")</f>
        <v>2</v>
      </c>
      <c r="E18" s="21"/>
      <c r="F18" s="21"/>
      <c r="G18" s="21"/>
      <c r="H18" s="21"/>
      <c r="I18" s="21"/>
      <c r="J18" s="21"/>
      <c r="K18" s="21"/>
      <c r="L18" s="21"/>
      <c r="M18" s="21"/>
    </row>
    <row r="19" spans="2:13" ht="20.100000000000001" customHeight="1" x14ac:dyDescent="0.3">
      <c r="B19" s="21"/>
      <c r="C19" s="31" t="s">
        <v>97</v>
      </c>
      <c r="D19" s="20">
        <f>COUNTIF(D7:D16,"II")</f>
        <v>3</v>
      </c>
      <c r="E19" s="21"/>
      <c r="F19" s="21"/>
      <c r="G19" s="21"/>
      <c r="H19" s="21"/>
      <c r="I19" s="21"/>
      <c r="J19" s="21"/>
      <c r="K19" s="21"/>
      <c r="L19" s="21"/>
      <c r="M19" s="21"/>
    </row>
    <row r="20" spans="2:13" ht="20.100000000000001" customHeight="1" x14ac:dyDescent="0.3">
      <c r="B20" s="21"/>
      <c r="C20" s="31" t="s">
        <v>98</v>
      </c>
      <c r="D20" s="20">
        <f>COUNTIF(D7:D16,"III")</f>
        <v>3</v>
      </c>
      <c r="E20" s="21"/>
      <c r="F20" s="21"/>
      <c r="G20" s="21"/>
      <c r="H20" s="23"/>
      <c r="I20" s="23"/>
      <c r="J20" s="23"/>
      <c r="K20" s="23"/>
      <c r="L20" s="23"/>
      <c r="M20" s="23"/>
    </row>
    <row r="21" spans="2:13" ht="20.100000000000001" customHeight="1" x14ac:dyDescent="0.3">
      <c r="B21" s="21"/>
      <c r="C21" s="31" t="s">
        <v>99</v>
      </c>
      <c r="D21" s="20">
        <f>COUNTIF(D7:D16,"IV")</f>
        <v>2</v>
      </c>
      <c r="E21" s="21"/>
      <c r="F21" s="21"/>
      <c r="G21" s="21"/>
      <c r="H21" s="23"/>
      <c r="I21" s="23"/>
      <c r="J21" s="23"/>
      <c r="K21" s="23"/>
      <c r="L21" s="23"/>
      <c r="M21" s="23"/>
    </row>
    <row r="22" spans="2:13" ht="20.100000000000001" customHeight="1" x14ac:dyDescent="0.3">
      <c r="B22" s="21"/>
      <c r="C22" s="21"/>
      <c r="D22" s="22"/>
      <c r="E22" s="21"/>
      <c r="F22" s="21"/>
      <c r="G22" s="21"/>
      <c r="H22" s="24" t="s">
        <v>100</v>
      </c>
      <c r="I22" s="23"/>
      <c r="J22" s="23"/>
      <c r="K22" s="23"/>
      <c r="L22" s="23"/>
      <c r="M22" s="23"/>
    </row>
    <row r="23" spans="2:13" ht="20.100000000000001" customHeight="1" x14ac:dyDescent="0.3">
      <c r="B23" s="23"/>
      <c r="C23" s="24" t="s">
        <v>101</v>
      </c>
      <c r="D23" s="25"/>
      <c r="E23" s="26"/>
      <c r="F23" s="26"/>
      <c r="G23" s="23"/>
      <c r="H23" s="30" t="s">
        <v>102</v>
      </c>
      <c r="I23" s="30" t="s">
        <v>103</v>
      </c>
      <c r="J23" s="30" t="s">
        <v>104</v>
      </c>
      <c r="K23" s="30" t="s">
        <v>105</v>
      </c>
      <c r="L23" s="30" t="s">
        <v>106</v>
      </c>
      <c r="M23" s="23"/>
    </row>
    <row r="24" spans="2:13" ht="20.100000000000001" customHeight="1" x14ac:dyDescent="0.3">
      <c r="B24" s="23"/>
      <c r="C24" s="36" t="s">
        <v>107</v>
      </c>
      <c r="D24" s="37" t="s">
        <v>83</v>
      </c>
      <c r="E24" s="37" t="s">
        <v>85</v>
      </c>
      <c r="F24" s="37" t="s">
        <v>84</v>
      </c>
      <c r="G24" s="23"/>
      <c r="H24" s="30" t="s">
        <v>108</v>
      </c>
      <c r="I24" s="39">
        <v>1000000</v>
      </c>
      <c r="J24" s="39">
        <v>750000</v>
      </c>
      <c r="K24" s="39">
        <v>500000</v>
      </c>
      <c r="L24" s="39">
        <v>250000</v>
      </c>
      <c r="M24" s="23"/>
    </row>
    <row r="25" spans="2:13" ht="20.100000000000001" customHeight="1" x14ac:dyDescent="0.3">
      <c r="B25" s="23"/>
      <c r="C25" s="31" t="s">
        <v>90</v>
      </c>
      <c r="D25" s="38">
        <v>1500000</v>
      </c>
      <c r="E25" s="38">
        <v>150000</v>
      </c>
      <c r="F25" s="38">
        <v>250000</v>
      </c>
      <c r="G25" s="23"/>
      <c r="H25" s="23"/>
      <c r="I25" s="23"/>
      <c r="J25" s="23"/>
      <c r="K25" s="23"/>
      <c r="L25" s="23"/>
      <c r="M25" s="23"/>
    </row>
    <row r="26" spans="2:13" ht="20.100000000000001" customHeight="1" x14ac:dyDescent="0.3">
      <c r="B26" s="23"/>
      <c r="C26" s="31" t="s">
        <v>94</v>
      </c>
      <c r="D26" s="38">
        <v>2000000</v>
      </c>
      <c r="E26" s="38">
        <v>200000</v>
      </c>
      <c r="F26" s="38">
        <v>500000</v>
      </c>
      <c r="G26" s="23"/>
      <c r="H26" s="24" t="s">
        <v>109</v>
      </c>
      <c r="I26" s="27"/>
      <c r="J26" s="27"/>
      <c r="K26" s="27"/>
      <c r="L26" s="27"/>
      <c r="M26" s="23"/>
    </row>
    <row r="27" spans="2:13" ht="20.100000000000001" customHeight="1" x14ac:dyDescent="0.3">
      <c r="B27" s="23"/>
      <c r="C27" s="31" t="s">
        <v>93</v>
      </c>
      <c r="D27" s="38">
        <v>2500000</v>
      </c>
      <c r="E27" s="38">
        <v>250000</v>
      </c>
      <c r="F27" s="38">
        <v>750000</v>
      </c>
      <c r="G27" s="23"/>
      <c r="H27" s="30" t="s">
        <v>102</v>
      </c>
      <c r="I27" s="30" t="s">
        <v>103</v>
      </c>
      <c r="J27" s="30" t="s">
        <v>104</v>
      </c>
      <c r="K27" s="30" t="s">
        <v>105</v>
      </c>
      <c r="L27" s="30" t="s">
        <v>106</v>
      </c>
      <c r="M27" s="23"/>
    </row>
    <row r="28" spans="2:13" ht="20.100000000000001" customHeight="1" x14ac:dyDescent="0.3">
      <c r="B28" s="23"/>
      <c r="C28" s="31" t="s">
        <v>92</v>
      </c>
      <c r="D28" s="38">
        <v>3000000</v>
      </c>
      <c r="E28" s="38">
        <v>300000</v>
      </c>
      <c r="F28" s="38">
        <v>1000000</v>
      </c>
      <c r="G28" s="23"/>
      <c r="H28" s="30" t="s">
        <v>89</v>
      </c>
      <c r="I28" s="40" t="s">
        <v>110</v>
      </c>
      <c r="J28" s="40" t="s">
        <v>111</v>
      </c>
      <c r="K28" s="40" t="s">
        <v>112</v>
      </c>
      <c r="L28" s="40" t="s">
        <v>113</v>
      </c>
      <c r="M28" s="23"/>
    </row>
    <row r="30" spans="2:13" x14ac:dyDescent="0.3">
      <c r="B30" s="24" t="s">
        <v>114</v>
      </c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</row>
    <row r="31" spans="2:13" x14ac:dyDescent="0.3">
      <c r="B31" s="28">
        <v>1</v>
      </c>
      <c r="C31" s="21" t="s">
        <v>115</v>
      </c>
      <c r="D31" s="23"/>
      <c r="E31" s="23"/>
      <c r="F31" s="23"/>
      <c r="G31" s="23"/>
      <c r="H31" s="23"/>
      <c r="I31" s="23"/>
      <c r="J31" s="23"/>
      <c r="K31" s="23"/>
      <c r="L31" s="23"/>
      <c r="M31" s="23"/>
    </row>
    <row r="32" spans="2:13" x14ac:dyDescent="0.3">
      <c r="B32" s="28">
        <v>2</v>
      </c>
      <c r="C32" s="21" t="s">
        <v>116</v>
      </c>
      <c r="D32" s="23"/>
      <c r="E32" s="23"/>
      <c r="F32" s="23"/>
      <c r="G32" s="23"/>
      <c r="H32" s="23"/>
      <c r="I32" s="23"/>
      <c r="J32" s="23"/>
      <c r="K32" s="23"/>
      <c r="L32" s="23"/>
      <c r="M32" s="23"/>
    </row>
    <row r="33" spans="2:13" x14ac:dyDescent="0.3">
      <c r="B33" s="28"/>
      <c r="C33" s="29" t="s">
        <v>117</v>
      </c>
      <c r="D33" s="23"/>
      <c r="E33" s="23"/>
      <c r="F33" s="23"/>
      <c r="G33" s="23"/>
      <c r="H33" s="23"/>
      <c r="I33" s="23"/>
      <c r="J33" s="23"/>
      <c r="K33" s="23"/>
      <c r="L33" s="23"/>
      <c r="M33" s="23"/>
    </row>
    <row r="34" spans="2:13" x14ac:dyDescent="0.3">
      <c r="B34" s="28"/>
      <c r="C34" s="29" t="s">
        <v>118</v>
      </c>
      <c r="D34" s="23"/>
      <c r="E34" s="23"/>
      <c r="F34" s="23"/>
      <c r="G34" s="23"/>
      <c r="H34" s="23"/>
      <c r="I34" s="23"/>
      <c r="J34" s="23"/>
      <c r="K34" s="23"/>
      <c r="L34" s="23"/>
      <c r="M34" s="23"/>
    </row>
    <row r="35" spans="2:13" x14ac:dyDescent="0.3">
      <c r="B35" s="28"/>
      <c r="C35" s="29" t="s">
        <v>126</v>
      </c>
    </row>
    <row r="36" spans="2:13" x14ac:dyDescent="0.3">
      <c r="B36" s="28">
        <v>3</v>
      </c>
      <c r="C36" s="21" t="s">
        <v>119</v>
      </c>
    </row>
    <row r="37" spans="2:13" x14ac:dyDescent="0.3">
      <c r="B37" s="28">
        <v>4</v>
      </c>
      <c r="C37" s="21" t="s">
        <v>120</v>
      </c>
    </row>
    <row r="38" spans="2:13" x14ac:dyDescent="0.3">
      <c r="B38" s="28">
        <v>5</v>
      </c>
      <c r="C38" s="21" t="s">
        <v>121</v>
      </c>
    </row>
    <row r="39" spans="2:13" x14ac:dyDescent="0.3">
      <c r="B39" s="28">
        <v>6</v>
      </c>
      <c r="C39" s="21" t="s">
        <v>122</v>
      </c>
    </row>
    <row r="43" spans="2:13" ht="18" x14ac:dyDescent="0.35">
      <c r="B43" s="5"/>
    </row>
    <row r="44" spans="2:13" x14ac:dyDescent="0.3">
      <c r="B44" s="3"/>
      <c r="I44" s="3" t="s">
        <v>622</v>
      </c>
    </row>
    <row r="45" spans="2:13" x14ac:dyDescent="0.3">
      <c r="B45" s="3"/>
      <c r="I45" s="3" t="s">
        <v>127</v>
      </c>
    </row>
    <row r="47" spans="2:13" x14ac:dyDescent="0.3">
      <c r="I47"/>
      <c r="J47"/>
      <c r="K47"/>
    </row>
    <row r="48" spans="2:13" x14ac:dyDescent="0.3">
      <c r="I48"/>
      <c r="J48"/>
      <c r="K48"/>
    </row>
    <row r="49" spans="9:11" x14ac:dyDescent="0.3">
      <c r="I49"/>
      <c r="J49"/>
      <c r="K49"/>
    </row>
    <row r="50" spans="9:11" x14ac:dyDescent="0.3">
      <c r="I50"/>
      <c r="J50"/>
      <c r="K50"/>
    </row>
    <row r="51" spans="9:11" x14ac:dyDescent="0.3">
      <c r="I51"/>
      <c r="J51"/>
      <c r="K51"/>
    </row>
    <row r="52" spans="9:11" x14ac:dyDescent="0.3">
      <c r="I52"/>
      <c r="J52"/>
      <c r="K52"/>
    </row>
    <row r="53" spans="9:11" x14ac:dyDescent="0.3">
      <c r="I53"/>
      <c r="J53"/>
      <c r="K53"/>
    </row>
    <row r="54" spans="9:11" x14ac:dyDescent="0.3">
      <c r="I54"/>
      <c r="J54"/>
      <c r="K54"/>
    </row>
    <row r="55" spans="9:11" x14ac:dyDescent="0.3">
      <c r="I55"/>
      <c r="J55"/>
      <c r="K55"/>
    </row>
    <row r="56" spans="9:11" x14ac:dyDescent="0.3">
      <c r="I56"/>
      <c r="J56"/>
      <c r="K56"/>
    </row>
    <row r="57" spans="9:11" x14ac:dyDescent="0.3">
      <c r="I57"/>
      <c r="J57"/>
      <c r="K57"/>
    </row>
    <row r="58" spans="9:11" x14ac:dyDescent="0.3">
      <c r="I58"/>
      <c r="J58"/>
      <c r="K58"/>
    </row>
    <row r="59" spans="9:11" x14ac:dyDescent="0.3">
      <c r="I59"/>
      <c r="J59"/>
      <c r="K59"/>
    </row>
    <row r="60" spans="9:11" x14ac:dyDescent="0.3">
      <c r="I60"/>
      <c r="J60"/>
      <c r="K60"/>
    </row>
    <row r="61" spans="9:11" x14ac:dyDescent="0.3">
      <c r="I61"/>
      <c r="J61"/>
      <c r="K61"/>
    </row>
    <row r="62" spans="9:11" x14ac:dyDescent="0.3">
      <c r="I62"/>
      <c r="J62"/>
      <c r="K62"/>
    </row>
    <row r="63" spans="9:11" x14ac:dyDescent="0.3">
      <c r="I63"/>
      <c r="J63"/>
      <c r="K63"/>
    </row>
    <row r="64" spans="9:11" x14ac:dyDescent="0.3">
      <c r="I64"/>
      <c r="J64"/>
      <c r="K64"/>
    </row>
  </sheetData>
  <mergeCells count="12">
    <mergeCell ref="M5:M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</mergeCells>
  <pageMargins left="0.7" right="0.7" top="0.75" bottom="0.75" header="0.3" footer="0.3"/>
  <pageSetup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C5:I28"/>
  <sheetViews>
    <sheetView workbookViewId="0">
      <selection activeCell="K12" sqref="K12"/>
    </sheetView>
  </sheetViews>
  <sheetFormatPr defaultRowHeight="14.4" x14ac:dyDescent="0.3"/>
  <cols>
    <col min="2" max="2" width="2.88671875" customWidth="1"/>
    <col min="3" max="3" width="11" customWidth="1"/>
    <col min="4" max="4" width="39.109375" customWidth="1"/>
    <col min="5" max="5" width="23.88671875" customWidth="1"/>
    <col min="6" max="6" width="26.6640625" customWidth="1"/>
    <col min="7" max="7" width="6.5546875" customWidth="1"/>
    <col min="8" max="8" width="41.44140625" customWidth="1"/>
    <col min="9" max="9" width="16.21875" bestFit="1" customWidth="1"/>
  </cols>
  <sheetData>
    <row r="5" spans="3:9" x14ac:dyDescent="0.3">
      <c r="C5" s="124" t="s">
        <v>59</v>
      </c>
      <c r="D5" s="124" t="s">
        <v>233</v>
      </c>
    </row>
    <row r="6" spans="3:9" x14ac:dyDescent="0.3">
      <c r="C6" s="125" t="s">
        <v>234</v>
      </c>
      <c r="D6" s="126" t="s">
        <v>235</v>
      </c>
    </row>
    <row r="7" spans="3:9" x14ac:dyDescent="0.3">
      <c r="C7" s="125" t="s">
        <v>236</v>
      </c>
      <c r="D7" s="126" t="s">
        <v>237</v>
      </c>
    </row>
    <row r="8" spans="3:9" x14ac:dyDescent="0.3">
      <c r="C8" s="125" t="s">
        <v>238</v>
      </c>
      <c r="D8" s="126" t="s">
        <v>239</v>
      </c>
    </row>
    <row r="9" spans="3:9" ht="17.25" customHeight="1" x14ac:dyDescent="0.3">
      <c r="C9" s="125" t="s">
        <v>240</v>
      </c>
      <c r="D9" s="126" t="s">
        <v>241</v>
      </c>
    </row>
    <row r="10" spans="3:9" ht="18" customHeight="1" x14ac:dyDescent="0.3"/>
    <row r="11" spans="3:9" ht="17.25" customHeight="1" x14ac:dyDescent="0.3"/>
    <row r="12" spans="3:9" ht="36" customHeight="1" x14ac:dyDescent="0.3">
      <c r="C12" s="127" t="s">
        <v>242</v>
      </c>
      <c r="D12" s="127" t="s">
        <v>233</v>
      </c>
      <c r="E12" s="127" t="s">
        <v>243</v>
      </c>
      <c r="F12" s="127" t="s">
        <v>244</v>
      </c>
      <c r="G12" s="127" t="s">
        <v>245</v>
      </c>
      <c r="H12" s="127" t="s">
        <v>246</v>
      </c>
      <c r="I12" s="127" t="s">
        <v>247</v>
      </c>
    </row>
    <row r="13" spans="3:9" x14ac:dyDescent="0.3">
      <c r="C13" s="125" t="s">
        <v>248</v>
      </c>
      <c r="D13" s="163" t="str">
        <f>VLOOKUP(LEFT(C13,3),$C$5:$D$9,2,FALSE)</f>
        <v>MANAJEMEN</v>
      </c>
      <c r="E13" s="164" t="str">
        <f>MID(C13,5,2)</f>
        <v>53</v>
      </c>
      <c r="F13" s="163">
        <f>VALUE(E13)</f>
        <v>53</v>
      </c>
      <c r="G13" s="165" t="str">
        <f>RIGHT(C13,1)</f>
        <v>A</v>
      </c>
      <c r="H13" s="163" t="str">
        <f>CONCATENATE(D13," ",G13)</f>
        <v>MANAJEMEN A</v>
      </c>
      <c r="I13" s="163" t="str">
        <f>CONCATENATE("Ruang Praktikum", " ", G13)</f>
        <v>Ruang Praktikum A</v>
      </c>
    </row>
    <row r="14" spans="3:9" x14ac:dyDescent="0.3">
      <c r="C14" s="125" t="s">
        <v>249</v>
      </c>
      <c r="D14" s="163" t="str">
        <f t="shared" ref="D14:D20" si="0">VLOOKUP(LEFT(C14,3),$C$5:$D$9,2,FALSE)</f>
        <v>AKUNTANSI</v>
      </c>
      <c r="E14" s="164" t="str">
        <f t="shared" ref="E14:E20" si="1">MID(C14,5,2)</f>
        <v>23</v>
      </c>
      <c r="F14" s="163">
        <f t="shared" ref="F14:F20" si="2">VALUE(E14)</f>
        <v>23</v>
      </c>
      <c r="G14" s="165" t="str">
        <f t="shared" ref="G14:G20" si="3">RIGHT(C14,1)</f>
        <v>C</v>
      </c>
      <c r="H14" s="163" t="str">
        <f t="shared" ref="H14:H20" si="4">CONCATENATE(D14," ",G14)</f>
        <v>AKUNTANSI C</v>
      </c>
      <c r="I14" s="163" t="str">
        <f t="shared" ref="I14:I20" si="5">CONCATENATE("Ruang Praktikum", " ", G14)</f>
        <v>Ruang Praktikum C</v>
      </c>
    </row>
    <row r="15" spans="3:9" x14ac:dyDescent="0.3">
      <c r="C15" s="125" t="s">
        <v>250</v>
      </c>
      <c r="D15" s="163" t="str">
        <f t="shared" si="0"/>
        <v>MANAJEMEN</v>
      </c>
      <c r="E15" s="164" t="str">
        <f t="shared" si="1"/>
        <v>40</v>
      </c>
      <c r="F15" s="163">
        <f t="shared" si="2"/>
        <v>40</v>
      </c>
      <c r="G15" s="165" t="str">
        <f t="shared" si="3"/>
        <v>B</v>
      </c>
      <c r="H15" s="163" t="str">
        <f t="shared" si="4"/>
        <v>MANAJEMEN B</v>
      </c>
      <c r="I15" s="163" t="str">
        <f t="shared" si="5"/>
        <v>Ruang Praktikum B</v>
      </c>
    </row>
    <row r="16" spans="3:9" x14ac:dyDescent="0.3">
      <c r="C16" s="125" t="s">
        <v>251</v>
      </c>
      <c r="D16" s="163" t="str">
        <f t="shared" si="0"/>
        <v>ILMU EKONOMI DAN STUDI PEMBANGUNAN</v>
      </c>
      <c r="E16" s="164" t="str">
        <f t="shared" si="1"/>
        <v>45</v>
      </c>
      <c r="F16" s="163">
        <f t="shared" si="2"/>
        <v>45</v>
      </c>
      <c r="G16" s="165" t="str">
        <f t="shared" si="3"/>
        <v>A</v>
      </c>
      <c r="H16" s="163" t="str">
        <f t="shared" si="4"/>
        <v>ILMU EKONOMI DAN STUDI PEMBANGUNAN A</v>
      </c>
      <c r="I16" s="163" t="str">
        <f t="shared" si="5"/>
        <v>Ruang Praktikum A</v>
      </c>
    </row>
    <row r="17" spans="3:9" x14ac:dyDescent="0.3">
      <c r="C17" s="125" t="s">
        <v>252</v>
      </c>
      <c r="D17" s="163" t="str">
        <f t="shared" si="0"/>
        <v>D-3 KEUANGAN DAN PERBANKAN</v>
      </c>
      <c r="E17" s="164" t="str">
        <f t="shared" si="1"/>
        <v>26</v>
      </c>
      <c r="F17" s="163">
        <f t="shared" si="2"/>
        <v>26</v>
      </c>
      <c r="G17" s="165" t="str">
        <f t="shared" si="3"/>
        <v>A</v>
      </c>
      <c r="H17" s="163" t="str">
        <f t="shared" si="4"/>
        <v>D-3 KEUANGAN DAN PERBANKAN A</v>
      </c>
      <c r="I17" s="163" t="str">
        <f t="shared" si="5"/>
        <v>Ruang Praktikum A</v>
      </c>
    </row>
    <row r="18" spans="3:9" x14ac:dyDescent="0.3">
      <c r="C18" s="125" t="s">
        <v>253</v>
      </c>
      <c r="D18" s="163" t="str">
        <f t="shared" si="0"/>
        <v>MANAJEMEN</v>
      </c>
      <c r="E18" s="164" t="str">
        <f t="shared" si="1"/>
        <v>17</v>
      </c>
      <c r="F18" s="163">
        <f t="shared" si="2"/>
        <v>17</v>
      </c>
      <c r="G18" s="165" t="str">
        <f t="shared" si="3"/>
        <v>C</v>
      </c>
      <c r="H18" s="163" t="str">
        <f t="shared" si="4"/>
        <v>MANAJEMEN C</v>
      </c>
      <c r="I18" s="163" t="str">
        <f t="shared" si="5"/>
        <v>Ruang Praktikum C</v>
      </c>
    </row>
    <row r="19" spans="3:9" x14ac:dyDescent="0.3">
      <c r="C19" s="125" t="s">
        <v>254</v>
      </c>
      <c r="D19" s="163" t="str">
        <f t="shared" si="0"/>
        <v>AKUNTANSI</v>
      </c>
      <c r="E19" s="164" t="str">
        <f t="shared" si="1"/>
        <v>43</v>
      </c>
      <c r="F19" s="163">
        <f t="shared" si="2"/>
        <v>43</v>
      </c>
      <c r="G19" s="165" t="str">
        <f t="shared" si="3"/>
        <v>B</v>
      </c>
      <c r="H19" s="163" t="str">
        <f t="shared" si="4"/>
        <v>AKUNTANSI B</v>
      </c>
      <c r="I19" s="163" t="str">
        <f t="shared" si="5"/>
        <v>Ruang Praktikum B</v>
      </c>
    </row>
    <row r="20" spans="3:9" x14ac:dyDescent="0.3">
      <c r="C20" s="125" t="s">
        <v>255</v>
      </c>
      <c r="D20" s="163" t="str">
        <f t="shared" si="0"/>
        <v>AKUNTANSI</v>
      </c>
      <c r="E20" s="164" t="str">
        <f t="shared" si="1"/>
        <v>09</v>
      </c>
      <c r="F20" s="163">
        <f t="shared" si="2"/>
        <v>9</v>
      </c>
      <c r="G20" s="165" t="str">
        <f t="shared" si="3"/>
        <v>A</v>
      </c>
      <c r="H20" s="163" t="str">
        <f t="shared" si="4"/>
        <v>AKUNTANSI A</v>
      </c>
      <c r="I20" s="163" t="str">
        <f t="shared" si="5"/>
        <v>Ruang Praktikum A</v>
      </c>
    </row>
    <row r="22" spans="3:9" x14ac:dyDescent="0.3">
      <c r="C22" s="162" t="s">
        <v>63</v>
      </c>
      <c r="D22" s="162"/>
      <c r="E22" s="162"/>
      <c r="F22" s="162"/>
      <c r="G22" s="162"/>
      <c r="H22" s="162"/>
    </row>
    <row r="23" spans="3:9" x14ac:dyDescent="0.3">
      <c r="C23" s="162" t="s">
        <v>304</v>
      </c>
      <c r="D23" s="162"/>
      <c r="E23" s="162"/>
      <c r="F23" s="162"/>
      <c r="G23" s="162"/>
      <c r="H23" s="162"/>
    </row>
    <row r="24" spans="3:9" x14ac:dyDescent="0.3">
      <c r="C24" s="162" t="s">
        <v>306</v>
      </c>
      <c r="D24" s="162"/>
      <c r="E24" s="162"/>
      <c r="F24" s="162"/>
      <c r="G24" s="162"/>
      <c r="H24" s="162"/>
    </row>
    <row r="25" spans="3:9" x14ac:dyDescent="0.3">
      <c r="C25" s="162" t="s">
        <v>305</v>
      </c>
      <c r="D25" s="162"/>
      <c r="E25" s="162"/>
      <c r="F25" s="162"/>
      <c r="G25" s="162"/>
      <c r="H25" s="162"/>
    </row>
    <row r="26" spans="3:9" x14ac:dyDescent="0.3">
      <c r="C26" s="162" t="s">
        <v>307</v>
      </c>
      <c r="D26" s="162"/>
      <c r="E26" s="162"/>
      <c r="F26" s="162"/>
      <c r="G26" s="162"/>
      <c r="H26" s="162"/>
    </row>
    <row r="27" spans="3:9" x14ac:dyDescent="0.3">
      <c r="C27" s="162" t="s">
        <v>308</v>
      </c>
      <c r="D27" s="162"/>
      <c r="E27" s="162"/>
      <c r="F27" s="162"/>
      <c r="G27" s="162"/>
      <c r="H27" s="162"/>
    </row>
    <row r="28" spans="3:9" x14ac:dyDescent="0.3">
      <c r="C28" s="162" t="s">
        <v>309</v>
      </c>
      <c r="D28" s="162"/>
      <c r="E28" s="162"/>
      <c r="F28" s="162"/>
      <c r="G28" s="162"/>
      <c r="H28" s="16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B1:J57"/>
  <sheetViews>
    <sheetView topLeftCell="A12" workbookViewId="0">
      <selection activeCell="K12" sqref="K12"/>
    </sheetView>
  </sheetViews>
  <sheetFormatPr defaultColWidth="9.109375" defaultRowHeight="15.6" x14ac:dyDescent="0.3"/>
  <cols>
    <col min="1" max="1" width="3.6640625" style="166" customWidth="1"/>
    <col min="2" max="2" width="6" style="166" customWidth="1"/>
    <col min="3" max="3" width="16.5546875" style="166" bestFit="1" customWidth="1"/>
    <col min="4" max="4" width="26.109375" style="166" bestFit="1" customWidth="1"/>
    <col min="5" max="5" width="8.5546875" style="166" bestFit="1" customWidth="1"/>
    <col min="6" max="6" width="14.109375" style="166" bestFit="1" customWidth="1"/>
    <col min="7" max="7" width="16.5546875" style="166" customWidth="1"/>
    <col min="8" max="8" width="13.5546875" style="166" customWidth="1"/>
    <col min="9" max="9" width="14.109375" style="166" customWidth="1"/>
    <col min="10" max="10" width="13.33203125" style="166" customWidth="1"/>
    <col min="11" max="11" width="6.6640625" style="166" customWidth="1"/>
    <col min="12" max="12" width="9.109375" style="166"/>
    <col min="13" max="13" width="15" style="166" customWidth="1"/>
    <col min="14" max="16384" width="9.109375" style="166"/>
  </cols>
  <sheetData>
    <row r="1" spans="2:9" ht="21" customHeight="1" x14ac:dyDescent="0.5">
      <c r="B1" s="294" t="s">
        <v>310</v>
      </c>
      <c r="C1" s="294"/>
      <c r="D1" s="294"/>
      <c r="E1" s="294"/>
      <c r="F1" s="294"/>
      <c r="G1" s="294"/>
      <c r="H1" s="294"/>
      <c r="I1" s="294"/>
    </row>
    <row r="2" spans="2:9" ht="21" customHeight="1" x14ac:dyDescent="0.5">
      <c r="B2" s="294" t="s">
        <v>311</v>
      </c>
      <c r="C2" s="294"/>
      <c r="D2" s="294"/>
      <c r="E2" s="294"/>
      <c r="F2" s="294"/>
      <c r="G2" s="294"/>
      <c r="H2" s="294"/>
      <c r="I2" s="294"/>
    </row>
    <row r="4" spans="2:9" s="168" customFormat="1" x14ac:dyDescent="0.3">
      <c r="B4" s="167" t="s">
        <v>312</v>
      </c>
      <c r="C4" s="167" t="s">
        <v>59</v>
      </c>
      <c r="D4" s="167" t="s">
        <v>313</v>
      </c>
      <c r="E4" s="167" t="s">
        <v>314</v>
      </c>
      <c r="F4" s="167" t="s">
        <v>315</v>
      </c>
      <c r="G4" s="167" t="s">
        <v>316</v>
      </c>
      <c r="H4" s="167" t="s">
        <v>317</v>
      </c>
      <c r="I4" s="167" t="s">
        <v>318</v>
      </c>
    </row>
    <row r="5" spans="2:9" s="168" customFormat="1" x14ac:dyDescent="0.3">
      <c r="B5" s="169">
        <v>1</v>
      </c>
      <c r="C5" s="169" t="s">
        <v>319</v>
      </c>
      <c r="D5" s="170" t="str">
        <f>VLOOKUP(LEFT(C5,2),$C$20:$D$30,2,FALSE)</f>
        <v>Airlangga</v>
      </c>
      <c r="E5" s="171" t="str">
        <f>MID(C5,5,4)</f>
        <v>1987</v>
      </c>
      <c r="F5" s="170" t="str">
        <f>VLOOKUP(MID(C5,3,2),$I$20:$J$31,2,FALSE)</f>
        <v>POLITIK</v>
      </c>
      <c r="G5" s="266">
        <f>VLOOKUP(RIGHT(C5,1),$F$20:$G$30,2,FALSE)</f>
        <v>60200</v>
      </c>
      <c r="H5" s="324">
        <f>IF(D5="Airlangga",10%,IF(D5="Gunung Agung",15%,IF(D5="Balai Pustaka",20%,0%)))</f>
        <v>0.1</v>
      </c>
      <c r="I5" s="266">
        <f>G5-(G5*H5)</f>
        <v>54180</v>
      </c>
    </row>
    <row r="6" spans="2:9" s="168" customFormat="1" x14ac:dyDescent="0.3">
      <c r="B6" s="169">
        <v>2</v>
      </c>
      <c r="C6" s="169" t="s">
        <v>320</v>
      </c>
      <c r="D6" s="170" t="str">
        <f t="shared" ref="D6:D18" si="0">VLOOKUP(LEFT(C6,2),$C$20:$D$30,2,FALSE)</f>
        <v>Elexmedia</v>
      </c>
      <c r="E6" s="171" t="str">
        <f t="shared" ref="E6:E18" si="1">MID(C6,5,4)</f>
        <v>1980</v>
      </c>
      <c r="F6" s="170" t="str">
        <f t="shared" ref="F6:F18" si="2">VLOOKUP(MID(C6,3,2),$I$20:$J$31,2,FALSE)</f>
        <v>HUKUM</v>
      </c>
      <c r="G6" s="266">
        <f t="shared" ref="G6:G18" si="3">VLOOKUP(RIGHT(C6,1),$F$20:$G$30,2,FALSE)</f>
        <v>58600</v>
      </c>
      <c r="H6" s="324">
        <f>IF(D6="Airlangga",10%,IF(D6="Gunung Agung",15%,IF(D6="Balai Pustaka",20%,0%)))</f>
        <v>0</v>
      </c>
      <c r="I6" s="266">
        <f t="shared" ref="I6:I18" si="4">G6-(G6*H6)</f>
        <v>58600</v>
      </c>
    </row>
    <row r="7" spans="2:9" s="168" customFormat="1" x14ac:dyDescent="0.3">
      <c r="B7" s="169">
        <v>3</v>
      </c>
      <c r="C7" s="169" t="s">
        <v>321</v>
      </c>
      <c r="D7" s="170" t="str">
        <f t="shared" si="0"/>
        <v>Binarupa Aksara</v>
      </c>
      <c r="E7" s="171" t="str">
        <f t="shared" si="1"/>
        <v>2004</v>
      </c>
      <c r="F7" s="170" t="str">
        <f t="shared" si="2"/>
        <v>SOSIAL</v>
      </c>
      <c r="G7" s="266">
        <f t="shared" si="3"/>
        <v>53000</v>
      </c>
      <c r="H7" s="324">
        <f t="shared" ref="H7:H18" si="5">IF(D7="Airlangga",10%,IF(D7="Gunung Agung",15%,IF(D7="Balai Pustaka",20%,0%)))</f>
        <v>0</v>
      </c>
      <c r="I7" s="266">
        <f t="shared" si="4"/>
        <v>53000</v>
      </c>
    </row>
    <row r="8" spans="2:9" s="168" customFormat="1" x14ac:dyDescent="0.3">
      <c r="B8" s="169">
        <v>4</v>
      </c>
      <c r="C8" s="169" t="s">
        <v>322</v>
      </c>
      <c r="D8" s="170" t="str">
        <f t="shared" si="0"/>
        <v>Airlangga</v>
      </c>
      <c r="E8" s="171" t="str">
        <f t="shared" si="1"/>
        <v>2005</v>
      </c>
      <c r="F8" s="170" t="str">
        <f t="shared" si="2"/>
        <v>POLITIK</v>
      </c>
      <c r="G8" s="266">
        <f t="shared" si="3"/>
        <v>60200</v>
      </c>
      <c r="H8" s="324">
        <f t="shared" si="5"/>
        <v>0.1</v>
      </c>
      <c r="I8" s="266">
        <f t="shared" si="4"/>
        <v>54180</v>
      </c>
    </row>
    <row r="9" spans="2:9" s="168" customFormat="1" x14ac:dyDescent="0.3">
      <c r="B9" s="169">
        <v>5</v>
      </c>
      <c r="C9" s="169" t="s">
        <v>323</v>
      </c>
      <c r="D9" s="170" t="str">
        <f t="shared" si="0"/>
        <v>Balai Pustaka</v>
      </c>
      <c r="E9" s="171" t="str">
        <f t="shared" si="1"/>
        <v>1997</v>
      </c>
      <c r="F9" s="170" t="str">
        <f t="shared" si="2"/>
        <v>SEJARAH</v>
      </c>
      <c r="G9" s="266">
        <f t="shared" si="3"/>
        <v>39200</v>
      </c>
      <c r="H9" s="324">
        <f t="shared" si="5"/>
        <v>0.2</v>
      </c>
      <c r="I9" s="266">
        <f t="shared" si="4"/>
        <v>31360</v>
      </c>
    </row>
    <row r="10" spans="2:9" s="168" customFormat="1" x14ac:dyDescent="0.3">
      <c r="B10" s="169">
        <v>6</v>
      </c>
      <c r="C10" s="169" t="s">
        <v>324</v>
      </c>
      <c r="D10" s="170" t="str">
        <f t="shared" si="0"/>
        <v>Elexmedia</v>
      </c>
      <c r="E10" s="171" t="str">
        <f t="shared" si="1"/>
        <v>2002</v>
      </c>
      <c r="F10" s="170" t="str">
        <f t="shared" si="2"/>
        <v>HUKUM</v>
      </c>
      <c r="G10" s="266">
        <f t="shared" si="3"/>
        <v>58600</v>
      </c>
      <c r="H10" s="324">
        <f t="shared" si="5"/>
        <v>0</v>
      </c>
      <c r="I10" s="266">
        <f t="shared" si="4"/>
        <v>58600</v>
      </c>
    </row>
    <row r="11" spans="2:9" s="168" customFormat="1" x14ac:dyDescent="0.3">
      <c r="B11" s="169">
        <v>7</v>
      </c>
      <c r="C11" s="169" t="s">
        <v>325</v>
      </c>
      <c r="D11" s="170" t="str">
        <f t="shared" si="0"/>
        <v>Griya Media</v>
      </c>
      <c r="E11" s="171" t="str">
        <f t="shared" si="1"/>
        <v>1989</v>
      </c>
      <c r="F11" s="170" t="str">
        <f t="shared" si="2"/>
        <v>OLAH RAGA</v>
      </c>
      <c r="G11" s="266">
        <f t="shared" si="3"/>
        <v>34600</v>
      </c>
      <c r="H11" s="324">
        <f t="shared" si="5"/>
        <v>0</v>
      </c>
      <c r="I11" s="266">
        <f t="shared" si="4"/>
        <v>34600</v>
      </c>
    </row>
    <row r="12" spans="2:9" s="168" customFormat="1" x14ac:dyDescent="0.3">
      <c r="B12" s="169">
        <v>8</v>
      </c>
      <c r="C12" s="169" t="s">
        <v>326</v>
      </c>
      <c r="D12" s="170" t="str">
        <f t="shared" si="0"/>
        <v>Airlangga</v>
      </c>
      <c r="E12" s="171" t="str">
        <f t="shared" si="1"/>
        <v>1988</v>
      </c>
      <c r="F12" s="170" t="str">
        <f t="shared" si="2"/>
        <v>POLITIK</v>
      </c>
      <c r="G12" s="266">
        <f t="shared" si="3"/>
        <v>60200</v>
      </c>
      <c r="H12" s="324">
        <f t="shared" si="5"/>
        <v>0.1</v>
      </c>
      <c r="I12" s="266">
        <f t="shared" si="4"/>
        <v>54180</v>
      </c>
    </row>
    <row r="13" spans="2:9" s="168" customFormat="1" x14ac:dyDescent="0.3">
      <c r="B13" s="169">
        <v>9</v>
      </c>
      <c r="C13" s="169" t="s">
        <v>327</v>
      </c>
      <c r="D13" s="170" t="str">
        <f t="shared" si="0"/>
        <v>Gunung Agung</v>
      </c>
      <c r="E13" s="171" t="str">
        <f t="shared" si="1"/>
        <v>2005</v>
      </c>
      <c r="F13" s="170" t="str">
        <f t="shared" si="2"/>
        <v>BUDAYA</v>
      </c>
      <c r="G13" s="266">
        <f t="shared" si="3"/>
        <v>43800</v>
      </c>
      <c r="H13" s="324">
        <f t="shared" si="5"/>
        <v>0.15</v>
      </c>
      <c r="I13" s="266">
        <f t="shared" si="4"/>
        <v>37230</v>
      </c>
    </row>
    <row r="14" spans="2:9" s="168" customFormat="1" x14ac:dyDescent="0.3">
      <c r="B14" s="169">
        <v>10</v>
      </c>
      <c r="C14" s="169" t="s">
        <v>328</v>
      </c>
      <c r="D14" s="170" t="str">
        <f t="shared" si="0"/>
        <v>Airlangga</v>
      </c>
      <c r="E14" s="171" t="str">
        <f t="shared" si="1"/>
        <v>1992</v>
      </c>
      <c r="F14" s="170" t="str">
        <f t="shared" si="2"/>
        <v>POLITIK</v>
      </c>
      <c r="G14" s="266">
        <f t="shared" si="3"/>
        <v>25400</v>
      </c>
      <c r="H14" s="324">
        <f t="shared" si="5"/>
        <v>0.1</v>
      </c>
      <c r="I14" s="266">
        <f t="shared" si="4"/>
        <v>22860</v>
      </c>
    </row>
    <row r="15" spans="2:9" s="168" customFormat="1" x14ac:dyDescent="0.3">
      <c r="B15" s="169">
        <v>11</v>
      </c>
      <c r="C15" s="169" t="s">
        <v>329</v>
      </c>
      <c r="D15" s="170" t="str">
        <f t="shared" si="0"/>
        <v>Salemba Empat</v>
      </c>
      <c r="E15" s="171" t="str">
        <f t="shared" si="1"/>
        <v>1986</v>
      </c>
      <c r="F15" s="170" t="str">
        <f t="shared" si="2"/>
        <v>AGAMA</v>
      </c>
      <c r="G15" s="266">
        <f t="shared" si="3"/>
        <v>60200</v>
      </c>
      <c r="H15" s="324">
        <f t="shared" si="5"/>
        <v>0</v>
      </c>
      <c r="I15" s="266">
        <f t="shared" si="4"/>
        <v>60200</v>
      </c>
    </row>
    <row r="16" spans="2:9" s="168" customFormat="1" x14ac:dyDescent="0.3">
      <c r="B16" s="169">
        <v>12</v>
      </c>
      <c r="C16" s="169" t="s">
        <v>330</v>
      </c>
      <c r="D16" s="170" t="str">
        <f t="shared" si="0"/>
        <v>Mizan</v>
      </c>
      <c r="E16" s="171" t="str">
        <f t="shared" si="1"/>
        <v>1998</v>
      </c>
      <c r="F16" s="170" t="str">
        <f t="shared" si="2"/>
        <v>HUKUM</v>
      </c>
      <c r="G16" s="266">
        <f t="shared" si="3"/>
        <v>58600</v>
      </c>
      <c r="H16" s="324">
        <f t="shared" si="5"/>
        <v>0</v>
      </c>
      <c r="I16" s="266">
        <f t="shared" si="4"/>
        <v>58600</v>
      </c>
    </row>
    <row r="17" spans="2:10" s="168" customFormat="1" x14ac:dyDescent="0.3">
      <c r="B17" s="169">
        <v>13</v>
      </c>
      <c r="C17" s="169" t="s">
        <v>331</v>
      </c>
      <c r="D17" s="170" t="str">
        <f t="shared" si="0"/>
        <v>Andi Offset</v>
      </c>
      <c r="E17" s="171" t="str">
        <f t="shared" si="1"/>
        <v>1999</v>
      </c>
      <c r="F17" s="170" t="str">
        <f t="shared" si="2"/>
        <v>EKONOMI</v>
      </c>
      <c r="G17" s="266">
        <f t="shared" si="3"/>
        <v>25400</v>
      </c>
      <c r="H17" s="324">
        <f t="shared" si="5"/>
        <v>0</v>
      </c>
      <c r="I17" s="266">
        <f t="shared" si="4"/>
        <v>25400</v>
      </c>
    </row>
    <row r="18" spans="2:10" s="168" customFormat="1" x14ac:dyDescent="0.3">
      <c r="B18" s="169">
        <v>14</v>
      </c>
      <c r="C18" s="169" t="s">
        <v>332</v>
      </c>
      <c r="D18" s="170" t="str">
        <f t="shared" si="0"/>
        <v>Elexmedia</v>
      </c>
      <c r="E18" s="171" t="str">
        <f t="shared" si="1"/>
        <v>1994</v>
      </c>
      <c r="F18" s="170" t="str">
        <f t="shared" si="2"/>
        <v>HUKUM</v>
      </c>
      <c r="G18" s="266">
        <f t="shared" si="3"/>
        <v>30000</v>
      </c>
      <c r="H18" s="324">
        <f t="shared" si="5"/>
        <v>0</v>
      </c>
      <c r="I18" s="266">
        <f t="shared" si="4"/>
        <v>30000</v>
      </c>
    </row>
    <row r="19" spans="2:10" x14ac:dyDescent="0.3">
      <c r="H19" s="172"/>
    </row>
    <row r="20" spans="2:10" x14ac:dyDescent="0.3">
      <c r="C20" s="167" t="s">
        <v>59</v>
      </c>
      <c r="D20" s="167" t="s">
        <v>313</v>
      </c>
      <c r="F20" s="167" t="s">
        <v>333</v>
      </c>
      <c r="G20" s="167" t="s">
        <v>61</v>
      </c>
      <c r="H20" s="173"/>
      <c r="I20" s="167" t="s">
        <v>333</v>
      </c>
      <c r="J20" s="167" t="s">
        <v>315</v>
      </c>
    </row>
    <row r="21" spans="2:10" x14ac:dyDescent="0.3">
      <c r="C21" s="174" t="s">
        <v>334</v>
      </c>
      <c r="D21" s="175" t="s">
        <v>335</v>
      </c>
      <c r="F21" s="174" t="s">
        <v>125</v>
      </c>
      <c r="G21" s="176">
        <v>67800</v>
      </c>
      <c r="I21" s="177" t="s">
        <v>336</v>
      </c>
      <c r="J21" s="175" t="s">
        <v>337</v>
      </c>
    </row>
    <row r="22" spans="2:10" x14ac:dyDescent="0.3">
      <c r="C22" s="174" t="s">
        <v>338</v>
      </c>
      <c r="D22" s="175" t="s">
        <v>339</v>
      </c>
      <c r="F22" s="174" t="s">
        <v>207</v>
      </c>
      <c r="G22" s="176">
        <v>60200</v>
      </c>
      <c r="I22" s="177" t="s">
        <v>340</v>
      </c>
      <c r="J22" s="175" t="s">
        <v>341</v>
      </c>
    </row>
    <row r="23" spans="2:10" x14ac:dyDescent="0.3">
      <c r="C23" s="174" t="s">
        <v>342</v>
      </c>
      <c r="D23" s="175" t="s">
        <v>343</v>
      </c>
      <c r="F23" s="174" t="s">
        <v>208</v>
      </c>
      <c r="G23" s="176">
        <v>58600</v>
      </c>
      <c r="I23" s="177" t="s">
        <v>344</v>
      </c>
      <c r="J23" s="175" t="s">
        <v>345</v>
      </c>
    </row>
    <row r="24" spans="2:10" x14ac:dyDescent="0.3">
      <c r="C24" s="174" t="s">
        <v>346</v>
      </c>
      <c r="D24" s="175" t="s">
        <v>347</v>
      </c>
      <c r="F24" s="174" t="s">
        <v>209</v>
      </c>
      <c r="G24" s="176">
        <v>53000</v>
      </c>
      <c r="I24" s="177" t="s">
        <v>348</v>
      </c>
      <c r="J24" s="175" t="s">
        <v>349</v>
      </c>
    </row>
    <row r="25" spans="2:10" x14ac:dyDescent="0.3">
      <c r="C25" s="174" t="s">
        <v>350</v>
      </c>
      <c r="D25" s="175" t="s">
        <v>351</v>
      </c>
      <c r="F25" s="174" t="s">
        <v>352</v>
      </c>
      <c r="G25" s="176">
        <v>48400</v>
      </c>
      <c r="I25" s="177" t="s">
        <v>353</v>
      </c>
      <c r="J25" s="175" t="s">
        <v>354</v>
      </c>
    </row>
    <row r="26" spans="2:10" x14ac:dyDescent="0.3">
      <c r="C26" s="174" t="s">
        <v>355</v>
      </c>
      <c r="D26" s="175" t="s">
        <v>356</v>
      </c>
      <c r="F26" s="174" t="s">
        <v>357</v>
      </c>
      <c r="G26" s="176">
        <v>43800</v>
      </c>
      <c r="I26" s="177" t="s">
        <v>358</v>
      </c>
      <c r="J26" s="175" t="s">
        <v>359</v>
      </c>
    </row>
    <row r="27" spans="2:10" x14ac:dyDescent="0.3">
      <c r="C27" s="174" t="s">
        <v>360</v>
      </c>
      <c r="D27" s="175" t="s">
        <v>361</v>
      </c>
      <c r="F27" s="174" t="s">
        <v>362</v>
      </c>
      <c r="G27" s="176">
        <v>39200</v>
      </c>
      <c r="I27" s="177" t="s">
        <v>363</v>
      </c>
      <c r="J27" s="175" t="s">
        <v>364</v>
      </c>
    </row>
    <row r="28" spans="2:10" x14ac:dyDescent="0.3">
      <c r="C28" s="174" t="s">
        <v>365</v>
      </c>
      <c r="D28" s="175" t="s">
        <v>366</v>
      </c>
      <c r="F28" s="174" t="s">
        <v>367</v>
      </c>
      <c r="G28" s="176">
        <v>34600</v>
      </c>
      <c r="I28" s="177" t="s">
        <v>368</v>
      </c>
      <c r="J28" s="175" t="s">
        <v>369</v>
      </c>
    </row>
    <row r="29" spans="2:10" x14ac:dyDescent="0.3">
      <c r="C29" s="174" t="s">
        <v>370</v>
      </c>
      <c r="D29" s="175" t="s">
        <v>371</v>
      </c>
      <c r="F29" s="174" t="s">
        <v>90</v>
      </c>
      <c r="G29" s="176">
        <v>30000</v>
      </c>
      <c r="I29" s="177" t="s">
        <v>372</v>
      </c>
      <c r="J29" s="175" t="s">
        <v>373</v>
      </c>
    </row>
    <row r="30" spans="2:10" x14ac:dyDescent="0.3">
      <c r="C30" s="174" t="s">
        <v>374</v>
      </c>
      <c r="D30" s="175" t="s">
        <v>375</v>
      </c>
      <c r="F30" s="174" t="s">
        <v>376</v>
      </c>
      <c r="G30" s="176">
        <v>25400</v>
      </c>
      <c r="I30" s="177" t="s">
        <v>377</v>
      </c>
      <c r="J30" s="175" t="s">
        <v>378</v>
      </c>
    </row>
    <row r="31" spans="2:10" x14ac:dyDescent="0.3">
      <c r="I31" s="177" t="s">
        <v>379</v>
      </c>
      <c r="J31" s="175" t="s">
        <v>380</v>
      </c>
    </row>
    <row r="32" spans="2:10" s="173" customFormat="1" x14ac:dyDescent="0.3"/>
    <row r="33" spans="2:8" x14ac:dyDescent="0.3">
      <c r="B33" s="173" t="s">
        <v>381</v>
      </c>
      <c r="C33" s="173"/>
    </row>
    <row r="34" spans="2:8" x14ac:dyDescent="0.3">
      <c r="B34" s="173" t="s">
        <v>299</v>
      </c>
      <c r="C34" s="173" t="s">
        <v>382</v>
      </c>
    </row>
    <row r="35" spans="2:8" x14ac:dyDescent="0.3">
      <c r="B35" s="173"/>
      <c r="C35" s="173" t="s">
        <v>383</v>
      </c>
    </row>
    <row r="36" spans="2:8" x14ac:dyDescent="0.3">
      <c r="B36" s="173"/>
      <c r="C36" s="173" t="s">
        <v>384</v>
      </c>
    </row>
    <row r="37" spans="2:8" x14ac:dyDescent="0.3">
      <c r="B37" s="173"/>
      <c r="C37" s="173" t="s">
        <v>385</v>
      </c>
    </row>
    <row r="38" spans="2:8" x14ac:dyDescent="0.3">
      <c r="B38" s="178"/>
      <c r="C38" s="178" t="s">
        <v>386</v>
      </c>
      <c r="D38" s="178"/>
      <c r="E38" s="178"/>
      <c r="F38" s="178"/>
      <c r="G38" s="178"/>
      <c r="H38" s="178"/>
    </row>
    <row r="39" spans="2:8" x14ac:dyDescent="0.3">
      <c r="B39" s="178" t="s">
        <v>299</v>
      </c>
      <c r="C39" s="178" t="s">
        <v>387</v>
      </c>
      <c r="D39" s="178" t="s">
        <v>388</v>
      </c>
      <c r="E39" s="178"/>
      <c r="F39" s="178"/>
      <c r="G39" s="178"/>
      <c r="H39" s="178"/>
    </row>
    <row r="40" spans="2:8" x14ac:dyDescent="0.3">
      <c r="B40" s="178" t="s">
        <v>299</v>
      </c>
      <c r="C40" s="178" t="s">
        <v>389</v>
      </c>
      <c r="D40" s="178"/>
      <c r="E40" s="178"/>
      <c r="F40" s="178"/>
      <c r="G40" s="178"/>
      <c r="H40" s="178"/>
    </row>
    <row r="41" spans="2:8" x14ac:dyDescent="0.3">
      <c r="B41" s="178"/>
      <c r="C41" s="178" t="s">
        <v>390</v>
      </c>
      <c r="D41" s="178"/>
      <c r="E41" s="178"/>
      <c r="F41" s="178"/>
      <c r="G41" s="178"/>
      <c r="H41" s="178"/>
    </row>
    <row r="42" spans="2:8" x14ac:dyDescent="0.3">
      <c r="B42" s="178"/>
      <c r="C42" s="178" t="s">
        <v>391</v>
      </c>
      <c r="D42" s="178"/>
      <c r="E42" s="178"/>
      <c r="F42" s="178"/>
      <c r="G42" s="178"/>
      <c r="H42" s="178"/>
    </row>
    <row r="43" spans="2:8" x14ac:dyDescent="0.3">
      <c r="B43" s="178"/>
      <c r="C43" s="178" t="s">
        <v>392</v>
      </c>
      <c r="D43" s="178"/>
      <c r="E43" s="178"/>
      <c r="F43" s="178"/>
      <c r="G43" s="178"/>
      <c r="H43" s="178"/>
    </row>
    <row r="44" spans="2:8" x14ac:dyDescent="0.3">
      <c r="B44" s="178" t="s">
        <v>299</v>
      </c>
      <c r="C44" s="178" t="s">
        <v>393</v>
      </c>
      <c r="D44" s="178" t="s">
        <v>394</v>
      </c>
      <c r="E44" s="178"/>
      <c r="F44" s="178"/>
      <c r="G44" s="178"/>
      <c r="H44" s="178"/>
    </row>
    <row r="45" spans="2:8" x14ac:dyDescent="0.3">
      <c r="B45" s="178"/>
      <c r="C45" s="178"/>
      <c r="D45" s="178"/>
      <c r="E45" s="178"/>
      <c r="F45" s="178"/>
      <c r="G45" s="178"/>
      <c r="H45" s="178"/>
    </row>
    <row r="49" spans="2:2" x14ac:dyDescent="0.3">
      <c r="B49" s="179"/>
    </row>
    <row r="50" spans="2:2" x14ac:dyDescent="0.3">
      <c r="B50" s="179"/>
    </row>
    <row r="51" spans="2:2" x14ac:dyDescent="0.3">
      <c r="B51" s="179"/>
    </row>
    <row r="52" spans="2:2" x14ac:dyDescent="0.3">
      <c r="B52" s="179"/>
    </row>
    <row r="53" spans="2:2" x14ac:dyDescent="0.3">
      <c r="B53" s="179"/>
    </row>
    <row r="54" spans="2:2" x14ac:dyDescent="0.3">
      <c r="B54" s="179"/>
    </row>
    <row r="55" spans="2:2" x14ac:dyDescent="0.3">
      <c r="B55" s="179"/>
    </row>
    <row r="56" spans="2:2" x14ac:dyDescent="0.3">
      <c r="B56" s="179"/>
    </row>
    <row r="57" spans="2:2" x14ac:dyDescent="0.3">
      <c r="B57" s="179"/>
    </row>
  </sheetData>
  <mergeCells count="2">
    <mergeCell ref="B1:I1"/>
    <mergeCell ref="B2:I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K28"/>
  <sheetViews>
    <sheetView topLeftCell="A24" workbookViewId="0">
      <selection activeCell="G42" sqref="G42"/>
    </sheetView>
  </sheetViews>
  <sheetFormatPr defaultColWidth="9.109375" defaultRowHeight="15.6" x14ac:dyDescent="0.3"/>
  <cols>
    <col min="1" max="1" width="7.88671875" style="180" customWidth="1"/>
    <col min="2" max="2" width="19.109375" style="180" customWidth="1"/>
    <col min="3" max="3" width="15.33203125" style="180" bestFit="1" customWidth="1"/>
    <col min="4" max="4" width="9.5546875" style="180" bestFit="1" customWidth="1"/>
    <col min="5" max="5" width="7.88671875" style="180" customWidth="1"/>
    <col min="6" max="6" width="20.6640625" style="180" bestFit="1" customWidth="1"/>
    <col min="7" max="7" width="17.5546875" style="180" customWidth="1"/>
    <col min="8" max="10" width="18.109375" style="180" customWidth="1"/>
    <col min="11" max="11" width="16.33203125" style="180" bestFit="1" customWidth="1"/>
    <col min="12" max="16384" width="9.109375" style="180"/>
  </cols>
  <sheetData>
    <row r="1" spans="1:11" ht="21" customHeight="1" x14ac:dyDescent="0.5">
      <c r="A1" s="295" t="s">
        <v>395</v>
      </c>
      <c r="B1" s="295"/>
      <c r="C1" s="295"/>
      <c r="D1" s="295"/>
      <c r="E1" s="295"/>
      <c r="F1" s="295"/>
      <c r="G1" s="295"/>
      <c r="H1" s="295"/>
      <c r="I1" s="295"/>
      <c r="J1" s="295"/>
    </row>
    <row r="2" spans="1:11" ht="21" customHeight="1" x14ac:dyDescent="0.5">
      <c r="A2" s="295" t="s">
        <v>396</v>
      </c>
      <c r="B2" s="295"/>
      <c r="C2" s="295"/>
      <c r="D2" s="295"/>
      <c r="E2" s="295"/>
      <c r="F2" s="295"/>
      <c r="G2" s="295"/>
      <c r="H2" s="295"/>
      <c r="I2" s="295"/>
      <c r="J2" s="295"/>
    </row>
    <row r="3" spans="1:11" x14ac:dyDescent="0.3">
      <c r="A3" s="181"/>
    </row>
    <row r="4" spans="1:11" ht="15.75" customHeight="1" x14ac:dyDescent="0.3">
      <c r="A4" s="296" t="s">
        <v>312</v>
      </c>
      <c r="B4" s="296" t="s">
        <v>0</v>
      </c>
      <c r="C4" s="167" t="s">
        <v>312</v>
      </c>
      <c r="D4" s="182" t="s">
        <v>397</v>
      </c>
      <c r="E4" s="296" t="s">
        <v>59</v>
      </c>
      <c r="F4" s="167" t="s">
        <v>398</v>
      </c>
      <c r="G4" s="296" t="s">
        <v>399</v>
      </c>
      <c r="H4" s="298" t="s">
        <v>400</v>
      </c>
      <c r="I4" s="299"/>
      <c r="J4" s="300"/>
      <c r="K4" s="296" t="s">
        <v>401</v>
      </c>
    </row>
    <row r="5" spans="1:11" x14ac:dyDescent="0.3">
      <c r="A5" s="297"/>
      <c r="B5" s="297"/>
      <c r="C5" s="167" t="s">
        <v>402</v>
      </c>
      <c r="D5" s="183" t="s">
        <v>403</v>
      </c>
      <c r="E5" s="297"/>
      <c r="F5" s="167" t="s">
        <v>404</v>
      </c>
      <c r="G5" s="297"/>
      <c r="H5" s="167" t="s">
        <v>405</v>
      </c>
      <c r="I5" s="167" t="s">
        <v>406</v>
      </c>
      <c r="J5" s="184" t="s">
        <v>407</v>
      </c>
      <c r="K5" s="297"/>
    </row>
    <row r="6" spans="1:11" x14ac:dyDescent="0.3">
      <c r="A6" s="185">
        <v>1</v>
      </c>
      <c r="B6" s="186" t="s">
        <v>408</v>
      </c>
      <c r="C6" s="185" t="s">
        <v>409</v>
      </c>
      <c r="D6" s="187">
        <v>12</v>
      </c>
      <c r="E6" s="185" t="s">
        <v>410</v>
      </c>
      <c r="F6" s="188" t="str">
        <f>VLOOKUP(E6,$A$19:$C$28,2,FALSE)</f>
        <v>Supra Fit</v>
      </c>
      <c r="G6" s="325">
        <f>VLOOKUP(E6,$A$19:$C$28,3,FALSE)</f>
        <v>13700000</v>
      </c>
      <c r="H6" s="325">
        <f>G6/D6</f>
        <v>1141666.6666666667</v>
      </c>
      <c r="I6" s="325">
        <f>0.025*G6</f>
        <v>342500</v>
      </c>
      <c r="J6" s="325">
        <f>H6+I6</f>
        <v>1484166.6666666667</v>
      </c>
      <c r="K6" s="325">
        <f>J6*D6</f>
        <v>17810000</v>
      </c>
    </row>
    <row r="7" spans="1:11" x14ac:dyDescent="0.3">
      <c r="A7" s="185">
        <f>A6+1</f>
        <v>2</v>
      </c>
      <c r="B7" s="186" t="s">
        <v>411</v>
      </c>
      <c r="C7" s="185" t="s">
        <v>412</v>
      </c>
      <c r="D7" s="187">
        <v>24</v>
      </c>
      <c r="E7" s="185" t="s">
        <v>413</v>
      </c>
      <c r="F7" s="188" t="str">
        <f t="shared" ref="F7:F17" si="0">VLOOKUP(E7,$A$19:$C$28,2,FALSE)</f>
        <v>Shogun</v>
      </c>
      <c r="G7" s="325">
        <f t="shared" ref="G7:G17" si="1">VLOOKUP(E7,$A$19:$C$28,3,FALSE)</f>
        <v>10250000</v>
      </c>
      <c r="H7" s="325">
        <f t="shared" ref="H7:H17" si="2">G7/D7</f>
        <v>427083.33333333331</v>
      </c>
      <c r="I7" s="325">
        <f t="shared" ref="I7:I17" si="3">0.025*G7</f>
        <v>256250</v>
      </c>
      <c r="J7" s="325">
        <f t="shared" ref="J7:J17" si="4">H7+I7</f>
        <v>683333.33333333326</v>
      </c>
      <c r="K7" s="325">
        <f t="shared" ref="K7:K17" si="5">J7*D7</f>
        <v>16399999.999999998</v>
      </c>
    </row>
    <row r="8" spans="1:11" x14ac:dyDescent="0.3">
      <c r="A8" s="185">
        <f t="shared" ref="A8:A17" si="6">A7+1</f>
        <v>3</v>
      </c>
      <c r="B8" s="186" t="s">
        <v>414</v>
      </c>
      <c r="C8" s="185" t="s">
        <v>415</v>
      </c>
      <c r="D8" s="187">
        <v>30</v>
      </c>
      <c r="E8" s="185" t="s">
        <v>416</v>
      </c>
      <c r="F8" s="188" t="str">
        <f t="shared" si="0"/>
        <v>Jupiter Z</v>
      </c>
      <c r="G8" s="325">
        <f t="shared" si="1"/>
        <v>12750000</v>
      </c>
      <c r="H8" s="325">
        <f t="shared" si="2"/>
        <v>425000</v>
      </c>
      <c r="I8" s="325">
        <f t="shared" si="3"/>
        <v>318750</v>
      </c>
      <c r="J8" s="325">
        <f t="shared" si="4"/>
        <v>743750</v>
      </c>
      <c r="K8" s="325">
        <f t="shared" si="5"/>
        <v>22312500</v>
      </c>
    </row>
    <row r="9" spans="1:11" x14ac:dyDescent="0.3">
      <c r="A9" s="185">
        <f t="shared" si="6"/>
        <v>4</v>
      </c>
      <c r="B9" s="186" t="s">
        <v>417</v>
      </c>
      <c r="C9" s="185" t="s">
        <v>418</v>
      </c>
      <c r="D9" s="187">
        <v>36</v>
      </c>
      <c r="E9" s="185" t="s">
        <v>419</v>
      </c>
      <c r="F9" s="188" t="str">
        <f t="shared" si="0"/>
        <v>Nouvo</v>
      </c>
      <c r="G9" s="325">
        <f t="shared" si="1"/>
        <v>10250000</v>
      </c>
      <c r="H9" s="325">
        <f t="shared" si="2"/>
        <v>284722.22222222225</v>
      </c>
      <c r="I9" s="325">
        <f t="shared" si="3"/>
        <v>256250</v>
      </c>
      <c r="J9" s="325">
        <f t="shared" si="4"/>
        <v>540972.22222222225</v>
      </c>
      <c r="K9" s="325">
        <f t="shared" si="5"/>
        <v>19475000</v>
      </c>
    </row>
    <row r="10" spans="1:11" x14ac:dyDescent="0.3">
      <c r="A10" s="185">
        <f t="shared" si="6"/>
        <v>5</v>
      </c>
      <c r="B10" s="186" t="s">
        <v>420</v>
      </c>
      <c r="C10" s="185" t="s">
        <v>421</v>
      </c>
      <c r="D10" s="187">
        <v>36</v>
      </c>
      <c r="E10" s="185" t="s">
        <v>410</v>
      </c>
      <c r="F10" s="188" t="str">
        <f t="shared" si="0"/>
        <v>Supra Fit</v>
      </c>
      <c r="G10" s="325">
        <f t="shared" si="1"/>
        <v>13700000</v>
      </c>
      <c r="H10" s="325">
        <f t="shared" si="2"/>
        <v>380555.55555555556</v>
      </c>
      <c r="I10" s="325">
        <f t="shared" si="3"/>
        <v>342500</v>
      </c>
      <c r="J10" s="325">
        <f t="shared" si="4"/>
        <v>723055.5555555555</v>
      </c>
      <c r="K10" s="325">
        <f t="shared" si="5"/>
        <v>26030000</v>
      </c>
    </row>
    <row r="11" spans="1:11" x14ac:dyDescent="0.3">
      <c r="A11" s="185">
        <f t="shared" si="6"/>
        <v>6</v>
      </c>
      <c r="B11" s="186" t="s">
        <v>422</v>
      </c>
      <c r="C11" s="185" t="s">
        <v>423</v>
      </c>
      <c r="D11" s="187">
        <v>24</v>
      </c>
      <c r="E11" s="185" t="s">
        <v>424</v>
      </c>
      <c r="F11" s="188" t="str">
        <f t="shared" si="0"/>
        <v>Beat</v>
      </c>
      <c r="G11" s="325">
        <f t="shared" si="1"/>
        <v>11500000</v>
      </c>
      <c r="H11" s="325">
        <f t="shared" si="2"/>
        <v>479166.66666666669</v>
      </c>
      <c r="I11" s="325">
        <f t="shared" si="3"/>
        <v>287500</v>
      </c>
      <c r="J11" s="325">
        <f t="shared" si="4"/>
        <v>766666.66666666674</v>
      </c>
      <c r="K11" s="325">
        <f t="shared" si="5"/>
        <v>18400000</v>
      </c>
    </row>
    <row r="12" spans="1:11" x14ac:dyDescent="0.3">
      <c r="A12" s="185">
        <f t="shared" si="6"/>
        <v>7</v>
      </c>
      <c r="B12" s="186" t="s">
        <v>425</v>
      </c>
      <c r="C12" s="185" t="s">
        <v>426</v>
      </c>
      <c r="D12" s="187">
        <v>30</v>
      </c>
      <c r="E12" s="185" t="s">
        <v>427</v>
      </c>
      <c r="F12" s="188" t="str">
        <f t="shared" si="0"/>
        <v>Satria</v>
      </c>
      <c r="G12" s="325">
        <f t="shared" si="1"/>
        <v>22200000</v>
      </c>
      <c r="H12" s="325">
        <f t="shared" si="2"/>
        <v>740000</v>
      </c>
      <c r="I12" s="325">
        <f t="shared" si="3"/>
        <v>555000</v>
      </c>
      <c r="J12" s="325">
        <f t="shared" si="4"/>
        <v>1295000</v>
      </c>
      <c r="K12" s="325">
        <f t="shared" si="5"/>
        <v>38850000</v>
      </c>
    </row>
    <row r="13" spans="1:11" x14ac:dyDescent="0.3">
      <c r="A13" s="185">
        <f t="shared" si="6"/>
        <v>8</v>
      </c>
      <c r="B13" s="186" t="s">
        <v>428</v>
      </c>
      <c r="C13" s="185" t="s">
        <v>429</v>
      </c>
      <c r="D13" s="187">
        <v>12</v>
      </c>
      <c r="E13" s="185" t="s">
        <v>424</v>
      </c>
      <c r="F13" s="188" t="str">
        <f t="shared" si="0"/>
        <v>Beat</v>
      </c>
      <c r="G13" s="325">
        <f t="shared" si="1"/>
        <v>11500000</v>
      </c>
      <c r="H13" s="325">
        <f t="shared" si="2"/>
        <v>958333.33333333337</v>
      </c>
      <c r="I13" s="325">
        <f t="shared" si="3"/>
        <v>287500</v>
      </c>
      <c r="J13" s="325">
        <f t="shared" si="4"/>
        <v>1245833.3333333335</v>
      </c>
      <c r="K13" s="325">
        <f t="shared" si="5"/>
        <v>14950000.000000002</v>
      </c>
    </row>
    <row r="14" spans="1:11" x14ac:dyDescent="0.3">
      <c r="A14" s="185">
        <f t="shared" si="6"/>
        <v>9</v>
      </c>
      <c r="B14" s="186" t="s">
        <v>430</v>
      </c>
      <c r="C14" s="185" t="s">
        <v>431</v>
      </c>
      <c r="D14" s="187">
        <v>30</v>
      </c>
      <c r="E14" s="185" t="s">
        <v>432</v>
      </c>
      <c r="F14" s="188" t="str">
        <f t="shared" si="0"/>
        <v>Mio</v>
      </c>
      <c r="G14" s="325">
        <f t="shared" si="1"/>
        <v>12000000</v>
      </c>
      <c r="H14" s="325">
        <f t="shared" si="2"/>
        <v>400000</v>
      </c>
      <c r="I14" s="325">
        <f t="shared" si="3"/>
        <v>300000</v>
      </c>
      <c r="J14" s="325">
        <f t="shared" si="4"/>
        <v>700000</v>
      </c>
      <c r="K14" s="325">
        <f t="shared" si="5"/>
        <v>21000000</v>
      </c>
    </row>
    <row r="15" spans="1:11" x14ac:dyDescent="0.3">
      <c r="A15" s="185">
        <f t="shared" si="6"/>
        <v>10</v>
      </c>
      <c r="B15" s="186" t="s">
        <v>433</v>
      </c>
      <c r="C15" s="185" t="s">
        <v>434</v>
      </c>
      <c r="D15" s="187">
        <v>36</v>
      </c>
      <c r="E15" s="185" t="s">
        <v>435</v>
      </c>
      <c r="F15" s="188" t="str">
        <f t="shared" si="0"/>
        <v>Smash</v>
      </c>
      <c r="G15" s="325">
        <f t="shared" si="1"/>
        <v>10500000</v>
      </c>
      <c r="H15" s="325">
        <f t="shared" si="2"/>
        <v>291666.66666666669</v>
      </c>
      <c r="I15" s="325">
        <f t="shared" si="3"/>
        <v>262500</v>
      </c>
      <c r="J15" s="325">
        <f t="shared" si="4"/>
        <v>554166.66666666674</v>
      </c>
      <c r="K15" s="325">
        <f t="shared" si="5"/>
        <v>19950000.000000004</v>
      </c>
    </row>
    <row r="16" spans="1:11" x14ac:dyDescent="0.3">
      <c r="A16" s="185">
        <f t="shared" si="6"/>
        <v>11</v>
      </c>
      <c r="B16" s="186" t="s">
        <v>436</v>
      </c>
      <c r="C16" s="185" t="s">
        <v>437</v>
      </c>
      <c r="D16" s="187">
        <v>12</v>
      </c>
      <c r="E16" s="185" t="s">
        <v>432</v>
      </c>
      <c r="F16" s="188" t="str">
        <f t="shared" si="0"/>
        <v>Mio</v>
      </c>
      <c r="G16" s="325">
        <f t="shared" si="1"/>
        <v>12000000</v>
      </c>
      <c r="H16" s="325">
        <f t="shared" si="2"/>
        <v>1000000</v>
      </c>
      <c r="I16" s="325">
        <f t="shared" si="3"/>
        <v>300000</v>
      </c>
      <c r="J16" s="325">
        <f t="shared" si="4"/>
        <v>1300000</v>
      </c>
      <c r="K16" s="325">
        <f t="shared" si="5"/>
        <v>15600000</v>
      </c>
    </row>
    <row r="17" spans="1:11" x14ac:dyDescent="0.3">
      <c r="A17" s="185">
        <f t="shared" si="6"/>
        <v>12</v>
      </c>
      <c r="B17" s="186" t="s">
        <v>438</v>
      </c>
      <c r="C17" s="185" t="s">
        <v>439</v>
      </c>
      <c r="D17" s="187">
        <v>36</v>
      </c>
      <c r="E17" s="185" t="s">
        <v>419</v>
      </c>
      <c r="F17" s="188" t="str">
        <f t="shared" si="0"/>
        <v>Nouvo</v>
      </c>
      <c r="G17" s="325">
        <f t="shared" si="1"/>
        <v>10250000</v>
      </c>
      <c r="H17" s="325">
        <f t="shared" si="2"/>
        <v>284722.22222222225</v>
      </c>
      <c r="I17" s="325">
        <f t="shared" si="3"/>
        <v>256250</v>
      </c>
      <c r="J17" s="325">
        <f t="shared" si="4"/>
        <v>540972.22222222225</v>
      </c>
      <c r="K17" s="325">
        <f t="shared" si="5"/>
        <v>19475000</v>
      </c>
    </row>
    <row r="19" spans="1:11" x14ac:dyDescent="0.3">
      <c r="A19" s="301" t="s">
        <v>59</v>
      </c>
      <c r="B19" s="189" t="s">
        <v>440</v>
      </c>
      <c r="C19" s="301" t="s">
        <v>61</v>
      </c>
      <c r="D19" s="190"/>
      <c r="E19" s="191" t="s">
        <v>441</v>
      </c>
      <c r="H19" s="191"/>
      <c r="I19" s="191"/>
      <c r="J19" s="190"/>
      <c r="K19" s="190"/>
    </row>
    <row r="20" spans="1:11" x14ac:dyDescent="0.3">
      <c r="A20" s="302"/>
      <c r="B20" s="189" t="s">
        <v>404</v>
      </c>
      <c r="C20" s="302"/>
      <c r="D20" s="190"/>
      <c r="E20" s="192" t="s">
        <v>442</v>
      </c>
      <c r="F20" s="193"/>
      <c r="G20" s="194">
        <v>0.3</v>
      </c>
      <c r="H20" s="191"/>
      <c r="I20" s="191"/>
      <c r="J20" s="190"/>
      <c r="K20" s="190"/>
    </row>
    <row r="21" spans="1:11" x14ac:dyDescent="0.3">
      <c r="A21" s="185" t="s">
        <v>424</v>
      </c>
      <c r="B21" s="195" t="s">
        <v>443</v>
      </c>
      <c r="C21" s="196">
        <v>11500000</v>
      </c>
      <c r="D21" s="190"/>
      <c r="H21" s="191"/>
      <c r="I21" s="191"/>
      <c r="J21" s="190"/>
      <c r="K21" s="190"/>
    </row>
    <row r="22" spans="1:11" x14ac:dyDescent="0.3">
      <c r="A22" s="185" t="s">
        <v>410</v>
      </c>
      <c r="B22" s="195" t="s">
        <v>444</v>
      </c>
      <c r="C22" s="196">
        <v>13700000</v>
      </c>
      <c r="D22" s="190"/>
      <c r="E22" s="191" t="s">
        <v>381</v>
      </c>
      <c r="F22" s="191"/>
      <c r="G22" s="191"/>
      <c r="H22" s="191"/>
      <c r="I22" s="191"/>
      <c r="J22" s="190"/>
      <c r="K22" s="190"/>
    </row>
    <row r="23" spans="1:11" x14ac:dyDescent="0.3">
      <c r="A23" s="185" t="s">
        <v>413</v>
      </c>
      <c r="B23" s="195" t="s">
        <v>445</v>
      </c>
      <c r="C23" s="196">
        <v>10250000</v>
      </c>
      <c r="D23" s="190"/>
      <c r="E23" s="191" t="s">
        <v>446</v>
      </c>
      <c r="F23" s="191"/>
      <c r="G23" s="197" t="s">
        <v>388</v>
      </c>
      <c r="J23" s="190"/>
      <c r="K23" s="190"/>
    </row>
    <row r="24" spans="1:11" x14ac:dyDescent="0.3">
      <c r="A24" s="185" t="s">
        <v>435</v>
      </c>
      <c r="B24" s="195" t="s">
        <v>447</v>
      </c>
      <c r="C24" s="196">
        <v>10500000</v>
      </c>
      <c r="D24" s="190"/>
      <c r="E24" s="191" t="s">
        <v>448</v>
      </c>
      <c r="F24" s="191"/>
      <c r="G24" s="197" t="s">
        <v>388</v>
      </c>
      <c r="J24" s="190"/>
      <c r="K24" s="190"/>
    </row>
    <row r="25" spans="1:11" x14ac:dyDescent="0.3">
      <c r="A25" s="185" t="s">
        <v>427</v>
      </c>
      <c r="B25" s="195" t="s">
        <v>449</v>
      </c>
      <c r="C25" s="196">
        <v>22200000</v>
      </c>
      <c r="D25" s="190"/>
      <c r="E25" s="191" t="s">
        <v>450</v>
      </c>
      <c r="F25" s="191"/>
      <c r="G25" s="197" t="s">
        <v>451</v>
      </c>
      <c r="J25" s="190"/>
      <c r="K25" s="190"/>
    </row>
    <row r="26" spans="1:11" x14ac:dyDescent="0.3">
      <c r="A26" s="185" t="s">
        <v>416</v>
      </c>
      <c r="B26" s="195" t="s">
        <v>452</v>
      </c>
      <c r="C26" s="196">
        <v>12750000</v>
      </c>
      <c r="D26" s="190"/>
      <c r="E26" s="191" t="s">
        <v>453</v>
      </c>
      <c r="F26" s="191"/>
      <c r="G26" s="197" t="s">
        <v>454</v>
      </c>
      <c r="J26" s="190"/>
      <c r="K26" s="190"/>
    </row>
    <row r="27" spans="1:11" x14ac:dyDescent="0.3">
      <c r="A27" s="185" t="s">
        <v>432</v>
      </c>
      <c r="B27" s="195" t="s">
        <v>455</v>
      </c>
      <c r="C27" s="196">
        <v>12000000</v>
      </c>
      <c r="D27" s="190"/>
      <c r="E27" s="191" t="s">
        <v>456</v>
      </c>
      <c r="F27" s="191"/>
      <c r="G27" s="197" t="s">
        <v>457</v>
      </c>
      <c r="J27" s="190"/>
      <c r="K27" s="190"/>
    </row>
    <row r="28" spans="1:11" x14ac:dyDescent="0.3">
      <c r="A28" s="185" t="s">
        <v>419</v>
      </c>
      <c r="B28" s="195" t="s">
        <v>458</v>
      </c>
      <c r="C28" s="196">
        <v>10250000</v>
      </c>
      <c r="D28" s="190"/>
      <c r="E28" s="191" t="s">
        <v>459</v>
      </c>
      <c r="F28" s="191"/>
      <c r="G28" s="197" t="s">
        <v>460</v>
      </c>
      <c r="J28" s="190"/>
      <c r="K28" s="190"/>
    </row>
  </sheetData>
  <mergeCells count="10">
    <mergeCell ref="K4:K5"/>
    <mergeCell ref="A19:A20"/>
    <mergeCell ref="C19:C20"/>
    <mergeCell ref="A1:J1"/>
    <mergeCell ref="A2:J2"/>
    <mergeCell ref="A4:A5"/>
    <mergeCell ref="B4:B5"/>
    <mergeCell ref="E4:E5"/>
    <mergeCell ref="G4:G5"/>
    <mergeCell ref="H4:J4"/>
  </mergeCells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B1:J34"/>
  <sheetViews>
    <sheetView topLeftCell="A30" workbookViewId="0">
      <selection activeCell="J56" sqref="J56"/>
    </sheetView>
  </sheetViews>
  <sheetFormatPr defaultColWidth="9.109375" defaultRowHeight="15.6" x14ac:dyDescent="0.3"/>
  <cols>
    <col min="1" max="1" width="3.6640625" style="198" customWidth="1"/>
    <col min="2" max="2" width="6.88671875" style="198" customWidth="1"/>
    <col min="3" max="3" width="18.109375" style="198" customWidth="1"/>
    <col min="4" max="4" width="17.6640625" style="198" bestFit="1" customWidth="1"/>
    <col min="5" max="5" width="17.109375" style="198" customWidth="1"/>
    <col min="6" max="6" width="19" style="198" bestFit="1" customWidth="1"/>
    <col min="7" max="7" width="16.5546875" style="198" bestFit="1" customWidth="1"/>
    <col min="8" max="8" width="17.88671875" style="198" customWidth="1"/>
    <col min="9" max="9" width="16" style="198" customWidth="1"/>
    <col min="10" max="10" width="14.109375" style="198" customWidth="1"/>
    <col min="11" max="16384" width="9.109375" style="198"/>
  </cols>
  <sheetData>
    <row r="1" spans="2:10" ht="21.75" customHeight="1" x14ac:dyDescent="0.5">
      <c r="B1" s="303" t="s">
        <v>461</v>
      </c>
      <c r="C1" s="303"/>
      <c r="D1" s="303"/>
      <c r="E1" s="303"/>
      <c r="F1" s="303"/>
      <c r="G1" s="303"/>
      <c r="H1" s="303"/>
      <c r="I1" s="303"/>
      <c r="J1" s="303"/>
    </row>
    <row r="2" spans="2:10" ht="21.75" customHeight="1" x14ac:dyDescent="0.5">
      <c r="B2" s="303" t="s">
        <v>462</v>
      </c>
      <c r="C2" s="303"/>
      <c r="D2" s="303"/>
      <c r="E2" s="303"/>
      <c r="F2" s="303"/>
      <c r="G2" s="303"/>
      <c r="H2" s="303"/>
      <c r="I2" s="303"/>
      <c r="J2" s="303"/>
    </row>
    <row r="4" spans="2:10" s="200" customFormat="1" x14ac:dyDescent="0.3">
      <c r="B4" s="304" t="s">
        <v>312</v>
      </c>
      <c r="C4" s="304" t="s">
        <v>0</v>
      </c>
      <c r="D4" s="304" t="s">
        <v>59</v>
      </c>
      <c r="E4" s="304" t="s">
        <v>463</v>
      </c>
      <c r="F4" s="304" t="s">
        <v>464</v>
      </c>
      <c r="G4" s="304" t="s">
        <v>245</v>
      </c>
      <c r="H4" s="167" t="s">
        <v>465</v>
      </c>
      <c r="I4" s="199" t="s">
        <v>465</v>
      </c>
      <c r="J4" s="167" t="s">
        <v>61</v>
      </c>
    </row>
    <row r="5" spans="2:10" s="200" customFormat="1" ht="15.75" customHeight="1" x14ac:dyDescent="0.3">
      <c r="B5" s="304"/>
      <c r="C5" s="304"/>
      <c r="D5" s="304"/>
      <c r="E5" s="304"/>
      <c r="F5" s="304"/>
      <c r="G5" s="304"/>
      <c r="H5" s="167" t="s">
        <v>466</v>
      </c>
      <c r="I5" s="199" t="s">
        <v>467</v>
      </c>
      <c r="J5" s="167" t="s">
        <v>468</v>
      </c>
    </row>
    <row r="6" spans="2:10" x14ac:dyDescent="0.3">
      <c r="B6" s="201">
        <v>1</v>
      </c>
      <c r="C6" s="202" t="s">
        <v>408</v>
      </c>
      <c r="D6" s="203" t="s">
        <v>469</v>
      </c>
      <c r="E6" s="204" t="str">
        <f>VLOOKUP(LEFT(D6,2),$B$19:$E$25,2,FALSE)</f>
        <v>Kurnia Jaya</v>
      </c>
      <c r="F6" s="204" t="str">
        <f>VLOOKUP(LEFT(D6,2),$B$19:$E$25,3,FALSE)</f>
        <v>Jakarta-Denpasar</v>
      </c>
      <c r="G6" s="205" t="str">
        <f>VLOOKUP(MID(D6,4,2),$G$19:$I$24,2,FALSE)</f>
        <v>Super Eksekutif</v>
      </c>
      <c r="H6" s="326">
        <f>VLOOKUP(LEFT(D6,2),$B$19:$E$25,4,FALSE)</f>
        <v>250000</v>
      </c>
      <c r="I6" s="327">
        <f>VLOOKUP(MID(D6,4,2),$G$19:$I$24,3,FALSE)*H6</f>
        <v>187500</v>
      </c>
      <c r="J6" s="328">
        <f>H6+I6</f>
        <v>437500</v>
      </c>
    </row>
    <row r="7" spans="2:10" x14ac:dyDescent="0.3">
      <c r="B7" s="201">
        <v>2</v>
      </c>
      <c r="C7" s="202" t="s">
        <v>411</v>
      </c>
      <c r="D7" s="203" t="s">
        <v>470</v>
      </c>
      <c r="E7" s="204" t="str">
        <f t="shared" ref="E7:E17" si="0">VLOOKUP(LEFT(D7,2),$B$19:$E$25,2,FALSE)</f>
        <v>Kurnia Jaya</v>
      </c>
      <c r="F7" s="204" t="str">
        <f t="shared" ref="F7:F17" si="1">VLOOKUP(LEFT(D7,2),$B$19:$E$25,3,FALSE)</f>
        <v>Jakarta-Denpasar</v>
      </c>
      <c r="G7" s="205" t="str">
        <f t="shared" ref="G7:G17" si="2">VLOOKUP(MID(D7,4,2),$G$19:$I$24,2,FALSE)</f>
        <v>Super Eksekutif</v>
      </c>
      <c r="H7" s="326">
        <f t="shared" ref="H7:H17" si="3">VLOOKUP(LEFT(D7,2),$B$19:$E$25,4,FALSE)</f>
        <v>250000</v>
      </c>
      <c r="I7" s="327">
        <f t="shared" ref="I7:I17" si="4">VLOOKUP(MID(D7,4,2),$G$19:$I$24,3,FALSE)*H7</f>
        <v>187500</v>
      </c>
      <c r="J7" s="328">
        <f t="shared" ref="J7:J17" si="5">H7+I7</f>
        <v>437500</v>
      </c>
    </row>
    <row r="8" spans="2:10" x14ac:dyDescent="0.3">
      <c r="B8" s="201">
        <v>3</v>
      </c>
      <c r="C8" s="202" t="s">
        <v>414</v>
      </c>
      <c r="D8" s="203" t="s">
        <v>471</v>
      </c>
      <c r="E8" s="204" t="str">
        <f t="shared" si="0"/>
        <v>Setia Negara</v>
      </c>
      <c r="F8" s="204" t="str">
        <f t="shared" si="1"/>
        <v>Jakarta-Semarang</v>
      </c>
      <c r="G8" s="205" t="str">
        <f t="shared" si="2"/>
        <v>Bisnis</v>
      </c>
      <c r="H8" s="326">
        <f t="shared" si="3"/>
        <v>130000</v>
      </c>
      <c r="I8" s="327">
        <f t="shared" si="4"/>
        <v>32500</v>
      </c>
      <c r="J8" s="328">
        <f t="shared" si="5"/>
        <v>162500</v>
      </c>
    </row>
    <row r="9" spans="2:10" x14ac:dyDescent="0.3">
      <c r="B9" s="201">
        <v>4</v>
      </c>
      <c r="C9" s="202" t="s">
        <v>417</v>
      </c>
      <c r="D9" s="203" t="s">
        <v>472</v>
      </c>
      <c r="E9" s="204" t="str">
        <f t="shared" si="0"/>
        <v>Goodwil</v>
      </c>
      <c r="F9" s="204" t="str">
        <f t="shared" si="1"/>
        <v>Jakarta-Cirebon</v>
      </c>
      <c r="G9" s="205" t="str">
        <f t="shared" si="2"/>
        <v>Ekonomi</v>
      </c>
      <c r="H9" s="326">
        <f t="shared" si="3"/>
        <v>50000</v>
      </c>
      <c r="I9" s="327">
        <f t="shared" si="4"/>
        <v>0</v>
      </c>
      <c r="J9" s="328">
        <f t="shared" si="5"/>
        <v>50000</v>
      </c>
    </row>
    <row r="10" spans="2:10" x14ac:dyDescent="0.3">
      <c r="B10" s="201">
        <v>5</v>
      </c>
      <c r="C10" s="202" t="s">
        <v>420</v>
      </c>
      <c r="D10" s="203" t="s">
        <v>473</v>
      </c>
      <c r="E10" s="204" t="str">
        <f t="shared" si="0"/>
        <v>Sahabat</v>
      </c>
      <c r="F10" s="204" t="str">
        <f t="shared" si="1"/>
        <v>Jakarta-Kuningan</v>
      </c>
      <c r="G10" s="205" t="str">
        <f t="shared" si="2"/>
        <v>Super Eksekutif</v>
      </c>
      <c r="H10" s="326">
        <f t="shared" si="3"/>
        <v>70000</v>
      </c>
      <c r="I10" s="327">
        <f t="shared" si="4"/>
        <v>52500</v>
      </c>
      <c r="J10" s="328">
        <f t="shared" si="5"/>
        <v>122500</v>
      </c>
    </row>
    <row r="11" spans="2:10" x14ac:dyDescent="0.3">
      <c r="B11" s="201">
        <v>6</v>
      </c>
      <c r="C11" s="202" t="s">
        <v>422</v>
      </c>
      <c r="D11" s="203" t="s">
        <v>474</v>
      </c>
      <c r="E11" s="204" t="str">
        <f t="shared" si="0"/>
        <v>Sami Jaya</v>
      </c>
      <c r="F11" s="204" t="str">
        <f t="shared" si="1"/>
        <v>Jakarta-Surabaya</v>
      </c>
      <c r="G11" s="205" t="str">
        <f t="shared" si="2"/>
        <v>Eksekutif</v>
      </c>
      <c r="H11" s="326">
        <f t="shared" si="3"/>
        <v>200000</v>
      </c>
      <c r="I11" s="327">
        <f t="shared" si="4"/>
        <v>100000</v>
      </c>
      <c r="J11" s="328">
        <f t="shared" si="5"/>
        <v>300000</v>
      </c>
    </row>
    <row r="12" spans="2:10" x14ac:dyDescent="0.3">
      <c r="B12" s="201">
        <v>7</v>
      </c>
      <c r="C12" s="202" t="s">
        <v>425</v>
      </c>
      <c r="D12" s="203" t="s">
        <v>471</v>
      </c>
      <c r="E12" s="204" t="str">
        <f t="shared" si="0"/>
        <v>Setia Negara</v>
      </c>
      <c r="F12" s="204" t="str">
        <f t="shared" si="1"/>
        <v>Jakarta-Semarang</v>
      </c>
      <c r="G12" s="205" t="str">
        <f t="shared" si="2"/>
        <v>Bisnis</v>
      </c>
      <c r="H12" s="326">
        <f t="shared" si="3"/>
        <v>130000</v>
      </c>
      <c r="I12" s="327">
        <f t="shared" si="4"/>
        <v>32500</v>
      </c>
      <c r="J12" s="328">
        <f t="shared" si="5"/>
        <v>162500</v>
      </c>
    </row>
    <row r="13" spans="2:10" x14ac:dyDescent="0.3">
      <c r="B13" s="201">
        <v>8</v>
      </c>
      <c r="C13" s="202" t="s">
        <v>428</v>
      </c>
      <c r="D13" s="203" t="s">
        <v>472</v>
      </c>
      <c r="E13" s="204" t="str">
        <f t="shared" si="0"/>
        <v>Goodwil</v>
      </c>
      <c r="F13" s="204" t="str">
        <f t="shared" si="1"/>
        <v>Jakarta-Cirebon</v>
      </c>
      <c r="G13" s="205" t="str">
        <f t="shared" si="2"/>
        <v>Ekonomi</v>
      </c>
      <c r="H13" s="326">
        <f t="shared" si="3"/>
        <v>50000</v>
      </c>
      <c r="I13" s="327">
        <f t="shared" si="4"/>
        <v>0</v>
      </c>
      <c r="J13" s="328">
        <f t="shared" si="5"/>
        <v>50000</v>
      </c>
    </row>
    <row r="14" spans="2:10" x14ac:dyDescent="0.3">
      <c r="B14" s="201">
        <v>9</v>
      </c>
      <c r="C14" s="202" t="s">
        <v>430</v>
      </c>
      <c r="D14" s="203" t="s">
        <v>470</v>
      </c>
      <c r="E14" s="204" t="str">
        <f t="shared" si="0"/>
        <v>Kurnia Jaya</v>
      </c>
      <c r="F14" s="204" t="str">
        <f t="shared" si="1"/>
        <v>Jakarta-Denpasar</v>
      </c>
      <c r="G14" s="205" t="str">
        <f t="shared" si="2"/>
        <v>Super Eksekutif</v>
      </c>
      <c r="H14" s="326">
        <f t="shared" si="3"/>
        <v>250000</v>
      </c>
      <c r="I14" s="327">
        <f t="shared" si="4"/>
        <v>187500</v>
      </c>
      <c r="J14" s="328">
        <f t="shared" si="5"/>
        <v>437500</v>
      </c>
    </row>
    <row r="15" spans="2:10" x14ac:dyDescent="0.3">
      <c r="B15" s="201">
        <v>10</v>
      </c>
      <c r="C15" s="202" t="s">
        <v>433</v>
      </c>
      <c r="D15" s="203" t="s">
        <v>475</v>
      </c>
      <c r="E15" s="204" t="str">
        <f t="shared" si="0"/>
        <v>Setia Negara</v>
      </c>
      <c r="F15" s="204" t="str">
        <f t="shared" si="1"/>
        <v>Jakarta-Semarang</v>
      </c>
      <c r="G15" s="205" t="str">
        <f t="shared" si="2"/>
        <v>Eksekutif</v>
      </c>
      <c r="H15" s="326">
        <f t="shared" si="3"/>
        <v>130000</v>
      </c>
      <c r="I15" s="327">
        <f t="shared" si="4"/>
        <v>65000</v>
      </c>
      <c r="J15" s="328">
        <f t="shared" si="5"/>
        <v>195000</v>
      </c>
    </row>
    <row r="16" spans="2:10" x14ac:dyDescent="0.3">
      <c r="B16" s="201">
        <v>11</v>
      </c>
      <c r="C16" s="202" t="s">
        <v>436</v>
      </c>
      <c r="D16" s="203" t="s">
        <v>476</v>
      </c>
      <c r="E16" s="204" t="str">
        <f t="shared" si="0"/>
        <v>Goodwil</v>
      </c>
      <c r="F16" s="204" t="str">
        <f t="shared" si="1"/>
        <v>Jakarta-Cirebon</v>
      </c>
      <c r="G16" s="205" t="str">
        <f t="shared" si="2"/>
        <v>Ekonomi</v>
      </c>
      <c r="H16" s="326">
        <f t="shared" si="3"/>
        <v>50000</v>
      </c>
      <c r="I16" s="327">
        <f t="shared" si="4"/>
        <v>0</v>
      </c>
      <c r="J16" s="328">
        <f t="shared" si="5"/>
        <v>50000</v>
      </c>
    </row>
    <row r="17" spans="2:10" x14ac:dyDescent="0.3">
      <c r="B17" s="201">
        <v>12</v>
      </c>
      <c r="C17" s="202" t="s">
        <v>438</v>
      </c>
      <c r="D17" s="203" t="s">
        <v>477</v>
      </c>
      <c r="E17" s="204" t="str">
        <f t="shared" si="0"/>
        <v>Sahabat</v>
      </c>
      <c r="F17" s="204" t="str">
        <f t="shared" si="1"/>
        <v>Jakarta-Kuningan</v>
      </c>
      <c r="G17" s="205" t="str">
        <f t="shared" si="2"/>
        <v>Super Eksekutif</v>
      </c>
      <c r="H17" s="326">
        <f t="shared" si="3"/>
        <v>70000</v>
      </c>
      <c r="I17" s="327">
        <f t="shared" si="4"/>
        <v>52500</v>
      </c>
      <c r="J17" s="328">
        <f t="shared" si="5"/>
        <v>122500</v>
      </c>
    </row>
    <row r="18" spans="2:10" x14ac:dyDescent="0.3">
      <c r="B18" s="206"/>
      <c r="C18" s="207"/>
      <c r="D18" s="206"/>
      <c r="E18" s="208"/>
      <c r="F18" s="208"/>
      <c r="G18" s="209"/>
      <c r="H18" s="210"/>
      <c r="I18" s="211"/>
      <c r="J18" s="211"/>
    </row>
    <row r="19" spans="2:10" ht="15.75" customHeight="1" x14ac:dyDescent="0.3">
      <c r="B19" s="305" t="s">
        <v>59</v>
      </c>
      <c r="C19" s="305" t="s">
        <v>463</v>
      </c>
      <c r="D19" s="305" t="s">
        <v>464</v>
      </c>
      <c r="E19" s="189" t="s">
        <v>465</v>
      </c>
      <c r="F19" s="207"/>
      <c r="G19" s="304" t="s">
        <v>59</v>
      </c>
      <c r="H19" s="304" t="s">
        <v>245</v>
      </c>
      <c r="I19" s="212" t="s">
        <v>465</v>
      </c>
      <c r="J19" s="207"/>
    </row>
    <row r="20" spans="2:10" x14ac:dyDescent="0.3">
      <c r="B20" s="305"/>
      <c r="C20" s="305"/>
      <c r="D20" s="305"/>
      <c r="E20" s="189" t="s">
        <v>466</v>
      </c>
      <c r="F20" s="207"/>
      <c r="G20" s="304"/>
      <c r="H20" s="304"/>
      <c r="I20" s="212" t="s">
        <v>467</v>
      </c>
      <c r="J20" s="207"/>
    </row>
    <row r="21" spans="2:10" x14ac:dyDescent="0.3">
      <c r="B21" s="213" t="s">
        <v>478</v>
      </c>
      <c r="C21" s="202" t="s">
        <v>479</v>
      </c>
      <c r="D21" s="202" t="s">
        <v>480</v>
      </c>
      <c r="E21" s="214">
        <v>50000</v>
      </c>
      <c r="G21" s="213" t="s">
        <v>481</v>
      </c>
      <c r="H21" s="202" t="s">
        <v>482</v>
      </c>
      <c r="I21" s="215">
        <v>0.25</v>
      </c>
    </row>
    <row r="22" spans="2:10" x14ac:dyDescent="0.3">
      <c r="B22" s="213" t="s">
        <v>483</v>
      </c>
      <c r="C22" s="202" t="s">
        <v>484</v>
      </c>
      <c r="D22" s="202" t="s">
        <v>485</v>
      </c>
      <c r="E22" s="214">
        <v>250000</v>
      </c>
      <c r="G22" s="213" t="s">
        <v>486</v>
      </c>
      <c r="H22" s="202" t="s">
        <v>487</v>
      </c>
      <c r="I22" s="215">
        <v>0</v>
      </c>
    </row>
    <row r="23" spans="2:10" x14ac:dyDescent="0.3">
      <c r="B23" s="213" t="s">
        <v>488</v>
      </c>
      <c r="C23" s="202" t="s">
        <v>489</v>
      </c>
      <c r="D23" s="202" t="s">
        <v>490</v>
      </c>
      <c r="E23" s="214">
        <v>70000</v>
      </c>
      <c r="G23" s="213" t="s">
        <v>491</v>
      </c>
      <c r="H23" s="202" t="s">
        <v>492</v>
      </c>
      <c r="I23" s="215">
        <v>0.5</v>
      </c>
    </row>
    <row r="24" spans="2:10" x14ac:dyDescent="0.3">
      <c r="B24" s="213" t="s">
        <v>493</v>
      </c>
      <c r="C24" s="202" t="s">
        <v>494</v>
      </c>
      <c r="D24" s="202" t="s">
        <v>495</v>
      </c>
      <c r="E24" s="214">
        <v>200000</v>
      </c>
      <c r="G24" s="213" t="s">
        <v>374</v>
      </c>
      <c r="H24" s="202" t="s">
        <v>496</v>
      </c>
      <c r="I24" s="215">
        <v>0.75</v>
      </c>
    </row>
    <row r="25" spans="2:10" x14ac:dyDescent="0.3">
      <c r="B25" s="213" t="s">
        <v>497</v>
      </c>
      <c r="C25" s="202" t="s">
        <v>498</v>
      </c>
      <c r="D25" s="202" t="s">
        <v>499</v>
      </c>
      <c r="E25" s="214">
        <v>130000</v>
      </c>
    </row>
    <row r="27" spans="2:10" s="217" customFormat="1" x14ac:dyDescent="0.3">
      <c r="B27" s="216" t="s">
        <v>381</v>
      </c>
      <c r="C27" s="216"/>
      <c r="D27" s="216"/>
      <c r="E27" s="216"/>
      <c r="F27" s="216"/>
      <c r="G27" s="216"/>
      <c r="H27" s="216"/>
      <c r="I27" s="216"/>
      <c r="J27" s="216"/>
    </row>
    <row r="28" spans="2:10" s="217" customFormat="1" x14ac:dyDescent="0.3">
      <c r="B28" s="217" t="s">
        <v>500</v>
      </c>
      <c r="D28" s="218" t="s">
        <v>388</v>
      </c>
    </row>
    <row r="29" spans="2:10" s="217" customFormat="1" x14ac:dyDescent="0.3">
      <c r="B29" s="217" t="s">
        <v>501</v>
      </c>
      <c r="D29" s="218" t="s">
        <v>388</v>
      </c>
    </row>
    <row r="30" spans="2:10" s="217" customFormat="1" x14ac:dyDescent="0.3">
      <c r="B30" s="217" t="s">
        <v>256</v>
      </c>
      <c r="D30" s="218" t="s">
        <v>388</v>
      </c>
    </row>
    <row r="31" spans="2:10" s="217" customFormat="1" x14ac:dyDescent="0.3">
      <c r="B31" s="217" t="s">
        <v>502</v>
      </c>
      <c r="D31" s="218" t="s">
        <v>388</v>
      </c>
    </row>
    <row r="32" spans="2:10" x14ac:dyDescent="0.3">
      <c r="B32" s="217" t="s">
        <v>503</v>
      </c>
      <c r="C32" s="217"/>
      <c r="D32" s="218" t="s">
        <v>504</v>
      </c>
    </row>
    <row r="33" spans="2:4" x14ac:dyDescent="0.3">
      <c r="B33" s="217" t="s">
        <v>505</v>
      </c>
      <c r="C33" s="217"/>
      <c r="D33" s="218" t="s">
        <v>506</v>
      </c>
    </row>
    <row r="34" spans="2:4" x14ac:dyDescent="0.3">
      <c r="B34" s="217"/>
      <c r="C34" s="217"/>
      <c r="D34" s="218"/>
    </row>
  </sheetData>
  <mergeCells count="13">
    <mergeCell ref="B1:J1"/>
    <mergeCell ref="B2:J2"/>
    <mergeCell ref="B4:B5"/>
    <mergeCell ref="C4:C5"/>
    <mergeCell ref="D4:D5"/>
    <mergeCell ref="E4:E5"/>
    <mergeCell ref="F4:F5"/>
    <mergeCell ref="G4:G5"/>
    <mergeCell ref="B19:B20"/>
    <mergeCell ref="C19:C20"/>
    <mergeCell ref="D19:D20"/>
    <mergeCell ref="G19:G20"/>
    <mergeCell ref="H19:H2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B1:L26"/>
  <sheetViews>
    <sheetView workbookViewId="0">
      <selection activeCell="O12" sqref="O12"/>
    </sheetView>
  </sheetViews>
  <sheetFormatPr defaultColWidth="9.109375" defaultRowHeight="15.6" x14ac:dyDescent="0.3"/>
  <cols>
    <col min="1" max="1" width="4" style="219" customWidth="1"/>
    <col min="2" max="2" width="7.44140625" style="227" customWidth="1"/>
    <col min="3" max="3" width="17.5546875" style="227" bestFit="1" customWidth="1"/>
    <col min="4" max="4" width="12.6640625" style="227" customWidth="1"/>
    <col min="5" max="5" width="11.5546875" style="227" customWidth="1"/>
    <col min="6" max="6" width="14" style="229" bestFit="1" customWidth="1"/>
    <col min="7" max="7" width="15.33203125" style="229" customWidth="1"/>
    <col min="8" max="8" width="8.109375" style="227" bestFit="1" customWidth="1"/>
    <col min="9" max="9" width="9.88671875" style="227" bestFit="1" customWidth="1"/>
    <col min="10" max="12" width="15.88671875" style="227" customWidth="1"/>
    <col min="13" max="16384" width="9.109375" style="219"/>
  </cols>
  <sheetData>
    <row r="1" spans="2:12" ht="22.5" customHeight="1" x14ac:dyDescent="0.5">
      <c r="B1" s="306" t="s">
        <v>507</v>
      </c>
      <c r="C1" s="306"/>
      <c r="D1" s="306"/>
      <c r="E1" s="306"/>
      <c r="F1" s="306"/>
      <c r="G1" s="306"/>
      <c r="H1" s="306"/>
      <c r="I1" s="306"/>
      <c r="J1" s="306"/>
      <c r="K1" s="306"/>
      <c r="L1" s="306"/>
    </row>
    <row r="3" spans="2:12" x14ac:dyDescent="0.3">
      <c r="B3" s="304" t="s">
        <v>312</v>
      </c>
      <c r="C3" s="304" t="s">
        <v>333</v>
      </c>
      <c r="D3" s="304" t="s">
        <v>181</v>
      </c>
      <c r="E3" s="220" t="s">
        <v>508</v>
      </c>
      <c r="F3" s="221" t="s">
        <v>509</v>
      </c>
      <c r="G3" s="221" t="s">
        <v>509</v>
      </c>
      <c r="H3" s="220" t="s">
        <v>510</v>
      </c>
      <c r="I3" s="220" t="s">
        <v>80</v>
      </c>
      <c r="J3" s="307" t="s">
        <v>511</v>
      </c>
      <c r="K3" s="307"/>
      <c r="L3" s="307"/>
    </row>
    <row r="4" spans="2:12" x14ac:dyDescent="0.3">
      <c r="B4" s="304"/>
      <c r="C4" s="304"/>
      <c r="D4" s="304"/>
      <c r="E4" s="220" t="s">
        <v>512</v>
      </c>
      <c r="F4" s="221" t="s">
        <v>512</v>
      </c>
      <c r="G4" s="221" t="s">
        <v>513</v>
      </c>
      <c r="H4" s="220" t="s">
        <v>512</v>
      </c>
      <c r="I4" s="220" t="s">
        <v>514</v>
      </c>
      <c r="J4" s="220" t="s">
        <v>512</v>
      </c>
      <c r="K4" s="220" t="s">
        <v>514</v>
      </c>
      <c r="L4" s="167" t="s">
        <v>132</v>
      </c>
    </row>
    <row r="5" spans="2:12" x14ac:dyDescent="0.3">
      <c r="B5" s="222">
        <v>1</v>
      </c>
      <c r="C5" s="222" t="s">
        <v>515</v>
      </c>
      <c r="D5" s="223">
        <v>3</v>
      </c>
      <c r="E5" s="224" cm="1">
        <f t="array" ref="E5">_xlfn.IFS(D5&lt;=2,1,D5=3,2,D5&gt;=4,3)</f>
        <v>2</v>
      </c>
      <c r="F5" s="225">
        <v>41049</v>
      </c>
      <c r="G5" s="225">
        <v>41051</v>
      </c>
      <c r="H5" s="224">
        <f>G5-F5</f>
        <v>2</v>
      </c>
      <c r="I5" s="226" t="str">
        <f>IF(H5&gt;E5,"DENDA","TIDAK")</f>
        <v>TIDAK</v>
      </c>
      <c r="J5" s="329">
        <f>VLOOKUP(LEFT(C5,2),$B$16:$E$21,3,FALSE)*D5</f>
        <v>7500</v>
      </c>
      <c r="K5" s="329">
        <f>VLOOKUP(LEFT(C5,2),$B$16:$E$21,4,FALSE)*IF(I5="DENDA",H5-E5,0)</f>
        <v>0</v>
      </c>
      <c r="L5" s="330">
        <f>J5+K5</f>
        <v>7500</v>
      </c>
    </row>
    <row r="6" spans="2:12" x14ac:dyDescent="0.3">
      <c r="B6" s="222">
        <v>2</v>
      </c>
      <c r="C6" s="222" t="s">
        <v>516</v>
      </c>
      <c r="D6" s="223">
        <v>2</v>
      </c>
      <c r="E6" s="224" cm="1">
        <f t="array" ref="E6">_xlfn.IFS(D6&lt;=2,1,D6=3,2,D6&gt;=4,3)</f>
        <v>1</v>
      </c>
      <c r="F6" s="225">
        <v>41050</v>
      </c>
      <c r="G6" s="225">
        <v>41054</v>
      </c>
      <c r="H6" s="224">
        <f t="shared" ref="H6:H14" si="0">G6-F6</f>
        <v>4</v>
      </c>
      <c r="I6" s="226" t="str">
        <f t="shared" ref="I6:I14" si="1">IF(H6&gt;E6,"DENDA","TIDAK")</f>
        <v>DENDA</v>
      </c>
      <c r="J6" s="329">
        <f t="shared" ref="J6:J14" si="2">VLOOKUP(LEFT(C6,2),$B$16:$E$21,3,FALSE)*D6</f>
        <v>10000</v>
      </c>
      <c r="K6" s="329">
        <f t="shared" ref="K6:K14" si="3">VLOOKUP(LEFT(C6,2),$B$16:$E$21,4,FALSE)*IF(I6="DENDA",H6-E6,0)</f>
        <v>6000</v>
      </c>
      <c r="L6" s="330">
        <f t="shared" ref="L6:L14" si="4">J6+K6</f>
        <v>16000</v>
      </c>
    </row>
    <row r="7" spans="2:12" x14ac:dyDescent="0.3">
      <c r="B7" s="222">
        <v>3</v>
      </c>
      <c r="C7" s="222" t="s">
        <v>517</v>
      </c>
      <c r="D7" s="223">
        <v>4</v>
      </c>
      <c r="E7" s="224" cm="1">
        <f t="array" ref="E7">_xlfn.IFS(D7&lt;=2,1,D7=3,2,D7&gt;=4,3)</f>
        <v>3</v>
      </c>
      <c r="F7" s="225">
        <v>41051</v>
      </c>
      <c r="G7" s="225">
        <v>41055</v>
      </c>
      <c r="H7" s="224">
        <f t="shared" si="0"/>
        <v>4</v>
      </c>
      <c r="I7" s="226" t="str">
        <f t="shared" si="1"/>
        <v>DENDA</v>
      </c>
      <c r="J7" s="329">
        <f t="shared" si="2"/>
        <v>10000</v>
      </c>
      <c r="K7" s="329">
        <f t="shared" si="3"/>
        <v>1000</v>
      </c>
      <c r="L7" s="330">
        <f t="shared" si="4"/>
        <v>11000</v>
      </c>
    </row>
    <row r="8" spans="2:12" x14ac:dyDescent="0.3">
      <c r="B8" s="222">
        <v>4</v>
      </c>
      <c r="C8" s="222" t="s">
        <v>518</v>
      </c>
      <c r="D8" s="223">
        <v>3</v>
      </c>
      <c r="E8" s="224" cm="1">
        <f t="array" ref="E8">_xlfn.IFS(D8&lt;=2,1,D8=3,2,D8&gt;=4,3)</f>
        <v>2</v>
      </c>
      <c r="F8" s="225">
        <v>41052</v>
      </c>
      <c r="G8" s="225">
        <v>41054</v>
      </c>
      <c r="H8" s="224">
        <f t="shared" si="0"/>
        <v>2</v>
      </c>
      <c r="I8" s="226" t="str">
        <f t="shared" si="1"/>
        <v>TIDAK</v>
      </c>
      <c r="J8" s="329">
        <f t="shared" si="2"/>
        <v>15000</v>
      </c>
      <c r="K8" s="329">
        <f t="shared" si="3"/>
        <v>0</v>
      </c>
      <c r="L8" s="330">
        <f t="shared" si="4"/>
        <v>15000</v>
      </c>
    </row>
    <row r="9" spans="2:12" x14ac:dyDescent="0.3">
      <c r="B9" s="222">
        <v>5</v>
      </c>
      <c r="C9" s="222" t="s">
        <v>519</v>
      </c>
      <c r="D9" s="223">
        <v>1</v>
      </c>
      <c r="E9" s="224" cm="1">
        <f t="array" ref="E9">_xlfn.IFS(D9&lt;=2,1,D9=3,2,D9&gt;=4,3)</f>
        <v>1</v>
      </c>
      <c r="F9" s="225">
        <v>41048</v>
      </c>
      <c r="G9" s="225">
        <v>41052</v>
      </c>
      <c r="H9" s="224">
        <f t="shared" si="0"/>
        <v>4</v>
      </c>
      <c r="I9" s="226" t="str">
        <f t="shared" si="1"/>
        <v>DENDA</v>
      </c>
      <c r="J9" s="329">
        <f t="shared" si="2"/>
        <v>2500</v>
      </c>
      <c r="K9" s="329">
        <f t="shared" si="3"/>
        <v>3000</v>
      </c>
      <c r="L9" s="330">
        <f t="shared" si="4"/>
        <v>5500</v>
      </c>
    </row>
    <row r="10" spans="2:12" x14ac:dyDescent="0.3">
      <c r="B10" s="222">
        <v>6</v>
      </c>
      <c r="C10" s="222" t="s">
        <v>520</v>
      </c>
      <c r="D10" s="223">
        <v>4</v>
      </c>
      <c r="E10" s="224" cm="1">
        <f t="array" ref="E10">_xlfn.IFS(D10&lt;=2,1,D10=3,2,D10&gt;=4,3)</f>
        <v>3</v>
      </c>
      <c r="F10" s="225">
        <v>41035</v>
      </c>
      <c r="G10" s="225">
        <v>41039</v>
      </c>
      <c r="H10" s="224">
        <f t="shared" si="0"/>
        <v>4</v>
      </c>
      <c r="I10" s="226" t="str">
        <f t="shared" si="1"/>
        <v>DENDA</v>
      </c>
      <c r="J10" s="329">
        <f t="shared" si="2"/>
        <v>10000</v>
      </c>
      <c r="K10" s="329">
        <f t="shared" si="3"/>
        <v>1000</v>
      </c>
      <c r="L10" s="330">
        <f t="shared" si="4"/>
        <v>11000</v>
      </c>
    </row>
    <row r="11" spans="2:12" x14ac:dyDescent="0.3">
      <c r="B11" s="222">
        <v>7</v>
      </c>
      <c r="C11" s="222" t="s">
        <v>521</v>
      </c>
      <c r="D11" s="223">
        <v>2</v>
      </c>
      <c r="E11" s="224" cm="1">
        <f t="array" ref="E11">_xlfn.IFS(D11&lt;=2,1,D11=3,2,D11&gt;=4,3)</f>
        <v>1</v>
      </c>
      <c r="F11" s="225">
        <v>41047</v>
      </c>
      <c r="G11" s="225">
        <v>41048</v>
      </c>
      <c r="H11" s="224">
        <f t="shared" si="0"/>
        <v>1</v>
      </c>
      <c r="I11" s="226" t="str">
        <f t="shared" si="1"/>
        <v>TIDAK</v>
      </c>
      <c r="J11" s="329">
        <f t="shared" si="2"/>
        <v>10000</v>
      </c>
      <c r="K11" s="329">
        <f t="shared" si="3"/>
        <v>0</v>
      </c>
      <c r="L11" s="330">
        <f t="shared" si="4"/>
        <v>10000</v>
      </c>
    </row>
    <row r="12" spans="2:12" x14ac:dyDescent="0.3">
      <c r="B12" s="222">
        <v>8</v>
      </c>
      <c r="C12" s="222" t="s">
        <v>522</v>
      </c>
      <c r="D12" s="223">
        <v>3</v>
      </c>
      <c r="E12" s="224" cm="1">
        <f t="array" ref="E12">_xlfn.IFS(D12&lt;=2,1,D12=3,2,D12&gt;=4,3)</f>
        <v>2</v>
      </c>
      <c r="F12" s="225">
        <v>41031</v>
      </c>
      <c r="G12" s="225">
        <v>41034</v>
      </c>
      <c r="H12" s="224">
        <f t="shared" si="0"/>
        <v>3</v>
      </c>
      <c r="I12" s="226" t="str">
        <f t="shared" si="1"/>
        <v>DENDA</v>
      </c>
      <c r="J12" s="329">
        <f t="shared" si="2"/>
        <v>15000</v>
      </c>
      <c r="K12" s="329">
        <f t="shared" si="3"/>
        <v>2000</v>
      </c>
      <c r="L12" s="330">
        <f t="shared" si="4"/>
        <v>17000</v>
      </c>
    </row>
    <row r="13" spans="2:12" x14ac:dyDescent="0.3">
      <c r="B13" s="222">
        <v>9</v>
      </c>
      <c r="C13" s="222" t="s">
        <v>523</v>
      </c>
      <c r="D13" s="223">
        <v>4</v>
      </c>
      <c r="E13" s="224" cm="1">
        <f t="array" ref="E13">_xlfn.IFS(D13&lt;=2,1,D13=3,2,D13&gt;=4,3)</f>
        <v>3</v>
      </c>
      <c r="F13" s="225">
        <v>41034</v>
      </c>
      <c r="G13" s="225">
        <v>41037</v>
      </c>
      <c r="H13" s="224">
        <f t="shared" si="0"/>
        <v>3</v>
      </c>
      <c r="I13" s="226" t="str">
        <f t="shared" si="1"/>
        <v>TIDAK</v>
      </c>
      <c r="J13" s="329">
        <f t="shared" si="2"/>
        <v>20000</v>
      </c>
      <c r="K13" s="329">
        <f t="shared" si="3"/>
        <v>0</v>
      </c>
      <c r="L13" s="330">
        <f t="shared" si="4"/>
        <v>20000</v>
      </c>
    </row>
    <row r="14" spans="2:12" x14ac:dyDescent="0.3">
      <c r="B14" s="222">
        <v>10</v>
      </c>
      <c r="C14" s="222" t="s">
        <v>524</v>
      </c>
      <c r="D14" s="223">
        <v>2</v>
      </c>
      <c r="E14" s="224" cm="1">
        <f t="array" ref="E14">_xlfn.IFS(D14&lt;=2,1,D14=3,2,D14&gt;=4,3)</f>
        <v>1</v>
      </c>
      <c r="F14" s="225">
        <v>41041</v>
      </c>
      <c r="G14" s="225">
        <v>41044</v>
      </c>
      <c r="H14" s="224">
        <f t="shared" si="0"/>
        <v>3</v>
      </c>
      <c r="I14" s="226" t="str">
        <f t="shared" si="1"/>
        <v>DENDA</v>
      </c>
      <c r="J14" s="329">
        <f t="shared" si="2"/>
        <v>5000</v>
      </c>
      <c r="K14" s="329">
        <f t="shared" si="3"/>
        <v>2000</v>
      </c>
      <c r="L14" s="330">
        <f t="shared" si="4"/>
        <v>7000</v>
      </c>
    </row>
    <row r="15" spans="2:12" x14ac:dyDescent="0.3">
      <c r="D15" s="228"/>
      <c r="E15" s="228"/>
      <c r="H15" s="228"/>
      <c r="J15" s="230"/>
      <c r="K15" s="230"/>
    </row>
    <row r="16" spans="2:12" ht="15.75" customHeight="1" x14ac:dyDescent="0.3">
      <c r="B16" s="296" t="s">
        <v>333</v>
      </c>
      <c r="C16" s="296" t="s">
        <v>525</v>
      </c>
      <c r="D16" s="231" t="s">
        <v>511</v>
      </c>
      <c r="E16" s="231" t="s">
        <v>511</v>
      </c>
      <c r="G16" s="232" t="s">
        <v>381</v>
      </c>
      <c r="H16" s="233"/>
      <c r="I16" s="233"/>
      <c r="J16" s="233"/>
      <c r="K16" s="233"/>
      <c r="L16" s="233"/>
    </row>
    <row r="17" spans="2:12" s="238" customFormat="1" x14ac:dyDescent="0.3">
      <c r="B17" s="297"/>
      <c r="C17" s="297"/>
      <c r="D17" s="234" t="s">
        <v>512</v>
      </c>
      <c r="E17" s="234" t="s">
        <v>514</v>
      </c>
      <c r="F17" s="235"/>
      <c r="G17" s="236" t="s">
        <v>526</v>
      </c>
      <c r="H17" s="236" t="s">
        <v>527</v>
      </c>
      <c r="I17" s="237"/>
      <c r="J17" s="237"/>
      <c r="K17" s="237"/>
      <c r="L17" s="237"/>
    </row>
    <row r="18" spans="2:12" x14ac:dyDescent="0.3">
      <c r="B18" s="222" t="s">
        <v>528</v>
      </c>
      <c r="C18" s="186" t="s">
        <v>529</v>
      </c>
      <c r="D18" s="239">
        <v>2500</v>
      </c>
      <c r="E18" s="240">
        <v>1000</v>
      </c>
      <c r="G18" s="232"/>
      <c r="H18" s="236" t="s">
        <v>530</v>
      </c>
      <c r="I18" s="233"/>
      <c r="J18" s="233"/>
      <c r="K18" s="233"/>
      <c r="L18" s="233"/>
    </row>
    <row r="19" spans="2:12" x14ac:dyDescent="0.3">
      <c r="B19" s="222" t="s">
        <v>531</v>
      </c>
      <c r="C19" s="186" t="s">
        <v>532</v>
      </c>
      <c r="D19" s="240">
        <v>2500</v>
      </c>
      <c r="E19" s="240">
        <v>1000</v>
      </c>
      <c r="G19" s="232"/>
      <c r="H19" s="236" t="s">
        <v>533</v>
      </c>
      <c r="I19" s="233"/>
      <c r="J19" s="233"/>
      <c r="K19" s="233"/>
      <c r="L19" s="233"/>
    </row>
    <row r="20" spans="2:12" x14ac:dyDescent="0.3">
      <c r="B20" s="222" t="s">
        <v>534</v>
      </c>
      <c r="C20" s="186" t="s">
        <v>535</v>
      </c>
      <c r="D20" s="240">
        <v>5000</v>
      </c>
      <c r="E20" s="240">
        <v>2000</v>
      </c>
      <c r="G20" s="232" t="s">
        <v>536</v>
      </c>
      <c r="H20" s="236" t="s">
        <v>537</v>
      </c>
      <c r="I20" s="233"/>
      <c r="J20" s="233"/>
      <c r="K20" s="233"/>
      <c r="L20" s="233"/>
    </row>
    <row r="21" spans="2:12" x14ac:dyDescent="0.3">
      <c r="B21" s="222" t="s">
        <v>538</v>
      </c>
      <c r="C21" s="186" t="s">
        <v>539</v>
      </c>
      <c r="D21" s="240">
        <v>5000</v>
      </c>
      <c r="E21" s="240">
        <v>2000</v>
      </c>
      <c r="G21" s="232" t="s">
        <v>540</v>
      </c>
      <c r="H21" s="236" t="s">
        <v>541</v>
      </c>
      <c r="I21" s="233"/>
      <c r="J21" s="233"/>
      <c r="K21" s="233"/>
      <c r="L21" s="233"/>
    </row>
    <row r="22" spans="2:12" x14ac:dyDescent="0.3">
      <c r="G22" s="233"/>
      <c r="H22" s="236" t="s">
        <v>542</v>
      </c>
      <c r="I22" s="233"/>
      <c r="J22" s="233"/>
      <c r="K22" s="233"/>
      <c r="L22" s="233"/>
    </row>
    <row r="23" spans="2:12" x14ac:dyDescent="0.3">
      <c r="G23" s="232" t="s">
        <v>543</v>
      </c>
      <c r="H23" s="236" t="s">
        <v>544</v>
      </c>
      <c r="I23" s="233"/>
      <c r="J23" s="233"/>
      <c r="K23" s="233"/>
      <c r="L23" s="233"/>
    </row>
    <row r="24" spans="2:12" x14ac:dyDescent="0.3">
      <c r="G24" s="232" t="s">
        <v>545</v>
      </c>
      <c r="H24" s="236" t="s">
        <v>546</v>
      </c>
      <c r="I24" s="233"/>
      <c r="J24" s="233"/>
      <c r="K24" s="233"/>
      <c r="L24" s="233"/>
    </row>
    <row r="25" spans="2:12" x14ac:dyDescent="0.3">
      <c r="G25" s="232" t="s">
        <v>547</v>
      </c>
      <c r="H25" s="236" t="s">
        <v>548</v>
      </c>
      <c r="I25" s="233"/>
      <c r="J25" s="233"/>
      <c r="K25" s="233"/>
      <c r="L25" s="233"/>
    </row>
    <row r="26" spans="2:12" x14ac:dyDescent="0.3">
      <c r="G26" s="233"/>
      <c r="H26" s="233"/>
      <c r="I26" s="233"/>
      <c r="J26" s="233"/>
      <c r="K26" s="233"/>
      <c r="L26" s="233"/>
    </row>
  </sheetData>
  <mergeCells count="7">
    <mergeCell ref="B16:B17"/>
    <mergeCell ref="C16:C17"/>
    <mergeCell ref="B1:L1"/>
    <mergeCell ref="B3:B4"/>
    <mergeCell ref="C3:C4"/>
    <mergeCell ref="D3:D4"/>
    <mergeCell ref="J3:L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B1:V39"/>
  <sheetViews>
    <sheetView tabSelected="1" workbookViewId="0">
      <selection activeCell="H56" sqref="H56"/>
    </sheetView>
  </sheetViews>
  <sheetFormatPr defaultColWidth="9.109375" defaultRowHeight="15.6" x14ac:dyDescent="0.3"/>
  <cols>
    <col min="1" max="1" width="3.109375" style="241" customWidth="1"/>
    <col min="2" max="2" width="4.88671875" style="241" customWidth="1"/>
    <col min="3" max="3" width="15" style="241" customWidth="1"/>
    <col min="4" max="4" width="22.33203125" style="241" customWidth="1"/>
    <col min="5" max="5" width="22.6640625" style="241" customWidth="1"/>
    <col min="6" max="6" width="14.33203125" style="241" customWidth="1"/>
    <col min="7" max="7" width="14.6640625" style="241" bestFit="1" customWidth="1"/>
    <col min="8" max="8" width="13.109375" style="241" customWidth="1"/>
    <col min="9" max="9" width="17" style="241" customWidth="1"/>
    <col min="10" max="10" width="15.44140625" style="241" customWidth="1"/>
    <col min="11" max="11" width="16.33203125" style="241" customWidth="1"/>
    <col min="12" max="12" width="12.109375" style="241" customWidth="1"/>
    <col min="13" max="13" width="15.6640625" style="241" bestFit="1" customWidth="1"/>
    <col min="14" max="14" width="21.6640625" style="241" bestFit="1" customWidth="1"/>
    <col min="15" max="18" width="12.88671875" style="241" customWidth="1"/>
    <col min="19" max="16384" width="9.109375" style="241"/>
  </cols>
  <sheetData>
    <row r="1" spans="2:22" ht="21" customHeight="1" x14ac:dyDescent="0.5">
      <c r="B1" s="308" t="s">
        <v>549</v>
      </c>
      <c r="C1" s="308"/>
      <c r="D1" s="308"/>
      <c r="E1" s="308"/>
      <c r="F1" s="308"/>
      <c r="G1" s="308"/>
      <c r="H1" s="308"/>
      <c r="I1" s="308"/>
      <c r="J1" s="308"/>
      <c r="K1" s="308"/>
    </row>
    <row r="2" spans="2:22" ht="21" customHeight="1" x14ac:dyDescent="0.5">
      <c r="B2" s="308" t="s">
        <v>550</v>
      </c>
      <c r="C2" s="308"/>
      <c r="D2" s="308"/>
      <c r="E2" s="308"/>
      <c r="F2" s="308"/>
      <c r="G2" s="308"/>
      <c r="H2" s="308"/>
      <c r="I2" s="308"/>
      <c r="J2" s="308"/>
      <c r="K2" s="308"/>
    </row>
    <row r="4" spans="2:22" s="242" customFormat="1" ht="15" customHeight="1" x14ac:dyDescent="0.3">
      <c r="B4" s="304" t="s">
        <v>312</v>
      </c>
      <c r="C4" s="304" t="s">
        <v>551</v>
      </c>
      <c r="D4" s="304" t="s">
        <v>552</v>
      </c>
      <c r="E4" s="304" t="s">
        <v>553</v>
      </c>
      <c r="F4" s="304" t="s">
        <v>80</v>
      </c>
      <c r="G4" s="310" t="s">
        <v>554</v>
      </c>
      <c r="H4" s="182" t="s">
        <v>555</v>
      </c>
      <c r="I4" s="312" t="s">
        <v>511</v>
      </c>
      <c r="J4" s="304" t="s">
        <v>317</v>
      </c>
      <c r="K4" s="304" t="s">
        <v>556</v>
      </c>
      <c r="S4" s="243"/>
      <c r="T4" s="243"/>
      <c r="U4" s="243"/>
      <c r="V4" s="243"/>
    </row>
    <row r="5" spans="2:22" s="242" customFormat="1" x14ac:dyDescent="0.3">
      <c r="B5" s="309"/>
      <c r="C5" s="309"/>
      <c r="D5" s="309"/>
      <c r="E5" s="309"/>
      <c r="F5" s="309"/>
      <c r="G5" s="311"/>
      <c r="H5" s="183" t="s">
        <v>557</v>
      </c>
      <c r="I5" s="313"/>
      <c r="J5" s="309"/>
      <c r="K5" s="309"/>
      <c r="S5" s="244"/>
      <c r="T5" s="244"/>
      <c r="U5" s="244"/>
      <c r="V5" s="244"/>
    </row>
    <row r="6" spans="2:22" x14ac:dyDescent="0.3">
      <c r="B6" s="245">
        <v>1</v>
      </c>
      <c r="C6" s="246" t="s">
        <v>297</v>
      </c>
      <c r="D6" s="245" t="s">
        <v>558</v>
      </c>
      <c r="E6" s="247" t="str">
        <f>VLOOKUP(LEFT(C6,2),$C$23:$F$29,2,FALSE)</f>
        <v>Microsoft Office</v>
      </c>
      <c r="F6" s="248" t="str">
        <f>RIGHT(C6,1)</f>
        <v>2</v>
      </c>
      <c r="G6" s="247" t="str">
        <f>HLOOKUP(RIGHT(C6,1),$H$23:$L$24,2,FALSE)</f>
        <v>Wiraswasta</v>
      </c>
      <c r="H6" s="249" t="str">
        <f>VLOOKUP(LEFT(C6,2),$C$23:$F$29,4,FALSE)</f>
        <v>Senin-Kamis</v>
      </c>
      <c r="I6" s="332">
        <f>VLOOKUP(LEFT(C6,2),$C$23:$F$29,3,FALSE)</f>
        <v>300000</v>
      </c>
      <c r="J6" s="331">
        <f>IF(OR(E6="Senior Programming",G6="Pelajar"),15%,0%)*I6</f>
        <v>0</v>
      </c>
      <c r="K6" s="250">
        <f>I6-J6</f>
        <v>300000</v>
      </c>
      <c r="S6" s="251"/>
      <c r="T6" s="251"/>
      <c r="U6" s="251"/>
      <c r="V6" s="251"/>
    </row>
    <row r="7" spans="2:22" x14ac:dyDescent="0.3">
      <c r="B7" s="245">
        <v>2</v>
      </c>
      <c r="C7" s="246" t="s">
        <v>559</v>
      </c>
      <c r="D7" s="245" t="s">
        <v>560</v>
      </c>
      <c r="E7" s="247" t="str">
        <f t="shared" ref="E7:E20" si="0">VLOOKUP(LEFT(C7,2),$C$23:$F$29,2,FALSE)</f>
        <v>Computer Introduction</v>
      </c>
      <c r="F7" s="248" t="str">
        <f t="shared" ref="F7:F20" si="1">RIGHT(C7,1)</f>
        <v>1</v>
      </c>
      <c r="G7" s="247" t="str">
        <f t="shared" ref="G7:G20" si="2">HLOOKUP(RIGHT(C7,1),$H$23:$L$24,2,FALSE)</f>
        <v>Pelajar</v>
      </c>
      <c r="H7" s="249" t="str">
        <f t="shared" ref="H7:H20" si="3">VLOOKUP(LEFT(C7,2),$C$23:$F$29,4,FALSE)</f>
        <v>Senin-Selasa</v>
      </c>
      <c r="I7" s="332">
        <f t="shared" ref="I7:I20" si="4">VLOOKUP(LEFT(C7,2),$C$23:$F$29,3,FALSE)</f>
        <v>100000</v>
      </c>
      <c r="J7" s="331">
        <f t="shared" ref="J7:J20" si="5">IF(OR(E7="Senior Programming",G7="Pelajar"),15%,0%)*I7</f>
        <v>15000</v>
      </c>
      <c r="K7" s="250">
        <f t="shared" ref="K7:K20" si="6">I7-J7</f>
        <v>85000</v>
      </c>
      <c r="S7" s="251"/>
      <c r="T7" s="251"/>
      <c r="U7" s="251"/>
      <c r="V7" s="251"/>
    </row>
    <row r="8" spans="2:22" x14ac:dyDescent="0.3">
      <c r="B8" s="245">
        <v>3</v>
      </c>
      <c r="C8" s="246" t="s">
        <v>561</v>
      </c>
      <c r="D8" s="245" t="s">
        <v>562</v>
      </c>
      <c r="E8" s="247" t="str">
        <f t="shared" si="0"/>
        <v>Yunior Programming</v>
      </c>
      <c r="F8" s="248" t="str">
        <f t="shared" si="1"/>
        <v>4</v>
      </c>
      <c r="G8" s="247" t="str">
        <f t="shared" si="2"/>
        <v>PNS</v>
      </c>
      <c r="H8" s="249" t="str">
        <f t="shared" si="3"/>
        <v>Senin-Sabtu</v>
      </c>
      <c r="I8" s="332">
        <f t="shared" si="4"/>
        <v>300000</v>
      </c>
      <c r="J8" s="331">
        <f t="shared" si="5"/>
        <v>0</v>
      </c>
      <c r="K8" s="250">
        <f t="shared" si="6"/>
        <v>300000</v>
      </c>
      <c r="S8" s="251"/>
      <c r="T8" s="251"/>
      <c r="U8" s="251"/>
      <c r="V8" s="251"/>
    </row>
    <row r="9" spans="2:22" x14ac:dyDescent="0.3">
      <c r="B9" s="245">
        <v>4</v>
      </c>
      <c r="C9" s="246" t="s">
        <v>563</v>
      </c>
      <c r="D9" s="245" t="s">
        <v>564</v>
      </c>
      <c r="E9" s="247" t="str">
        <f t="shared" si="0"/>
        <v>Senior Programming</v>
      </c>
      <c r="F9" s="248" t="str">
        <f t="shared" si="1"/>
        <v>2</v>
      </c>
      <c r="G9" s="247" t="str">
        <f t="shared" si="2"/>
        <v>Wiraswasta</v>
      </c>
      <c r="H9" s="249" t="str">
        <f t="shared" si="3"/>
        <v>Senin-Jumat</v>
      </c>
      <c r="I9" s="332">
        <f t="shared" si="4"/>
        <v>600000</v>
      </c>
      <c r="J9" s="331">
        <f t="shared" si="5"/>
        <v>90000</v>
      </c>
      <c r="K9" s="250">
        <f t="shared" si="6"/>
        <v>510000</v>
      </c>
      <c r="S9" s="251"/>
      <c r="T9" s="251"/>
      <c r="U9" s="251"/>
      <c r="V9" s="251"/>
    </row>
    <row r="10" spans="2:22" x14ac:dyDescent="0.3">
      <c r="B10" s="245">
        <v>5</v>
      </c>
      <c r="C10" s="246" t="s">
        <v>565</v>
      </c>
      <c r="D10" s="245" t="s">
        <v>566</v>
      </c>
      <c r="E10" s="247" t="str">
        <f t="shared" si="0"/>
        <v>Microsoft Office</v>
      </c>
      <c r="F10" s="248" t="str">
        <f t="shared" si="1"/>
        <v>2</v>
      </c>
      <c r="G10" s="247" t="str">
        <f t="shared" si="2"/>
        <v>Wiraswasta</v>
      </c>
      <c r="H10" s="249" t="str">
        <f t="shared" si="3"/>
        <v>Senin-Kamis</v>
      </c>
      <c r="I10" s="332">
        <f t="shared" si="4"/>
        <v>300000</v>
      </c>
      <c r="J10" s="331">
        <f t="shared" si="5"/>
        <v>0</v>
      </c>
      <c r="K10" s="250">
        <f t="shared" si="6"/>
        <v>300000</v>
      </c>
      <c r="S10" s="251"/>
      <c r="T10" s="251"/>
      <c r="U10" s="251"/>
      <c r="V10" s="251"/>
    </row>
    <row r="11" spans="2:22" x14ac:dyDescent="0.3">
      <c r="B11" s="245">
        <v>6</v>
      </c>
      <c r="C11" s="246" t="s">
        <v>567</v>
      </c>
      <c r="D11" s="245" t="s">
        <v>568</v>
      </c>
      <c r="E11" s="247" t="str">
        <f t="shared" si="0"/>
        <v>Microsoft Office</v>
      </c>
      <c r="F11" s="248" t="str">
        <f t="shared" si="1"/>
        <v>4</v>
      </c>
      <c r="G11" s="247" t="str">
        <f t="shared" si="2"/>
        <v>PNS</v>
      </c>
      <c r="H11" s="249" t="str">
        <f t="shared" si="3"/>
        <v>Senin-Kamis</v>
      </c>
      <c r="I11" s="332">
        <f t="shared" si="4"/>
        <v>300000</v>
      </c>
      <c r="J11" s="331">
        <f t="shared" si="5"/>
        <v>0</v>
      </c>
      <c r="K11" s="250">
        <f t="shared" si="6"/>
        <v>300000</v>
      </c>
      <c r="S11" s="252"/>
      <c r="T11" s="252"/>
      <c r="U11" s="252"/>
      <c r="V11" s="252"/>
    </row>
    <row r="12" spans="2:22" x14ac:dyDescent="0.3">
      <c r="B12" s="245">
        <v>7</v>
      </c>
      <c r="C12" s="246" t="s">
        <v>569</v>
      </c>
      <c r="D12" s="245" t="s">
        <v>570</v>
      </c>
      <c r="E12" s="247" t="str">
        <f t="shared" si="0"/>
        <v>Computer Introduction</v>
      </c>
      <c r="F12" s="248" t="str">
        <f t="shared" si="1"/>
        <v>1</v>
      </c>
      <c r="G12" s="247" t="str">
        <f t="shared" si="2"/>
        <v>Pelajar</v>
      </c>
      <c r="H12" s="249" t="str">
        <f t="shared" si="3"/>
        <v>Senin-Selasa</v>
      </c>
      <c r="I12" s="332">
        <f t="shared" si="4"/>
        <v>100000</v>
      </c>
      <c r="J12" s="331">
        <f t="shared" si="5"/>
        <v>15000</v>
      </c>
      <c r="K12" s="250">
        <f t="shared" si="6"/>
        <v>85000</v>
      </c>
      <c r="S12" s="252"/>
      <c r="T12" s="252"/>
      <c r="U12" s="252"/>
      <c r="V12" s="252"/>
    </row>
    <row r="13" spans="2:22" x14ac:dyDescent="0.3">
      <c r="B13" s="245">
        <v>8</v>
      </c>
      <c r="C13" s="246" t="s">
        <v>571</v>
      </c>
      <c r="D13" s="245" t="s">
        <v>572</v>
      </c>
      <c r="E13" s="247" t="str">
        <f t="shared" si="0"/>
        <v>Microsoft Office</v>
      </c>
      <c r="F13" s="248" t="str">
        <f t="shared" si="1"/>
        <v>3</v>
      </c>
      <c r="G13" s="247" t="str">
        <f t="shared" si="2"/>
        <v>Swasta</v>
      </c>
      <c r="H13" s="249" t="str">
        <f t="shared" si="3"/>
        <v>Senin-Kamis</v>
      </c>
      <c r="I13" s="332">
        <f t="shared" si="4"/>
        <v>300000</v>
      </c>
      <c r="J13" s="331">
        <f t="shared" si="5"/>
        <v>0</v>
      </c>
      <c r="K13" s="250">
        <f t="shared" si="6"/>
        <v>300000</v>
      </c>
      <c r="S13" s="252"/>
      <c r="T13" s="252"/>
      <c r="U13" s="252"/>
      <c r="V13" s="252"/>
    </row>
    <row r="14" spans="2:22" x14ac:dyDescent="0.3">
      <c r="B14" s="245">
        <v>9</v>
      </c>
      <c r="C14" s="246" t="s">
        <v>573</v>
      </c>
      <c r="D14" s="245" t="s">
        <v>574</v>
      </c>
      <c r="E14" s="247" t="str">
        <f t="shared" si="0"/>
        <v>Graphic Design</v>
      </c>
      <c r="F14" s="248" t="str">
        <f t="shared" si="1"/>
        <v>3</v>
      </c>
      <c r="G14" s="247" t="str">
        <f t="shared" si="2"/>
        <v>Swasta</v>
      </c>
      <c r="H14" s="249" t="str">
        <f t="shared" si="3"/>
        <v>Senin-Rabu</v>
      </c>
      <c r="I14" s="332">
        <f t="shared" si="4"/>
        <v>450000</v>
      </c>
      <c r="J14" s="331">
        <f t="shared" si="5"/>
        <v>0</v>
      </c>
      <c r="K14" s="250">
        <f t="shared" si="6"/>
        <v>450000</v>
      </c>
    </row>
    <row r="15" spans="2:22" x14ac:dyDescent="0.3">
      <c r="B15" s="245">
        <v>10</v>
      </c>
      <c r="C15" s="246" t="s">
        <v>575</v>
      </c>
      <c r="D15" s="245" t="s">
        <v>576</v>
      </c>
      <c r="E15" s="247" t="str">
        <f t="shared" si="0"/>
        <v>Graphic Design</v>
      </c>
      <c r="F15" s="248" t="str">
        <f t="shared" si="1"/>
        <v>2</v>
      </c>
      <c r="G15" s="247" t="str">
        <f t="shared" si="2"/>
        <v>Wiraswasta</v>
      </c>
      <c r="H15" s="249" t="str">
        <f t="shared" si="3"/>
        <v>Senin-Rabu</v>
      </c>
      <c r="I15" s="332">
        <f t="shared" si="4"/>
        <v>450000</v>
      </c>
      <c r="J15" s="331">
        <f t="shared" si="5"/>
        <v>0</v>
      </c>
      <c r="K15" s="250">
        <f t="shared" si="6"/>
        <v>450000</v>
      </c>
    </row>
    <row r="16" spans="2:22" x14ac:dyDescent="0.3">
      <c r="B16" s="245">
        <v>11</v>
      </c>
      <c r="C16" s="246" t="s">
        <v>577</v>
      </c>
      <c r="D16" s="245" t="s">
        <v>578</v>
      </c>
      <c r="E16" s="247" t="str">
        <f t="shared" si="0"/>
        <v>Graphic Design</v>
      </c>
      <c r="F16" s="248" t="str">
        <f t="shared" si="1"/>
        <v>4</v>
      </c>
      <c r="G16" s="247" t="str">
        <f t="shared" si="2"/>
        <v>PNS</v>
      </c>
      <c r="H16" s="249" t="str">
        <f t="shared" si="3"/>
        <v>Senin-Rabu</v>
      </c>
      <c r="I16" s="332">
        <f t="shared" si="4"/>
        <v>450000</v>
      </c>
      <c r="J16" s="331">
        <f t="shared" si="5"/>
        <v>0</v>
      </c>
      <c r="K16" s="250">
        <f t="shared" si="6"/>
        <v>450000</v>
      </c>
    </row>
    <row r="17" spans="2:13" x14ac:dyDescent="0.3">
      <c r="B17" s="245">
        <v>12</v>
      </c>
      <c r="C17" s="246" t="s">
        <v>579</v>
      </c>
      <c r="D17" s="245" t="s">
        <v>580</v>
      </c>
      <c r="E17" s="247" t="str">
        <f t="shared" si="0"/>
        <v>Microsoft Office</v>
      </c>
      <c r="F17" s="248" t="str">
        <f t="shared" si="1"/>
        <v>2</v>
      </c>
      <c r="G17" s="247" t="str">
        <f t="shared" si="2"/>
        <v>Wiraswasta</v>
      </c>
      <c r="H17" s="249" t="str">
        <f t="shared" si="3"/>
        <v>Senin-Kamis</v>
      </c>
      <c r="I17" s="332">
        <f t="shared" si="4"/>
        <v>300000</v>
      </c>
      <c r="J17" s="331">
        <f t="shared" si="5"/>
        <v>0</v>
      </c>
      <c r="K17" s="250">
        <f t="shared" si="6"/>
        <v>300000</v>
      </c>
    </row>
    <row r="18" spans="2:13" x14ac:dyDescent="0.3">
      <c r="B18" s="245">
        <v>13</v>
      </c>
      <c r="C18" s="246" t="s">
        <v>581</v>
      </c>
      <c r="D18" s="245" t="s">
        <v>582</v>
      </c>
      <c r="E18" s="247" t="str">
        <f t="shared" si="0"/>
        <v>Senior Programming</v>
      </c>
      <c r="F18" s="248" t="str">
        <f t="shared" si="1"/>
        <v>1</v>
      </c>
      <c r="G18" s="247" t="str">
        <f t="shared" si="2"/>
        <v>Pelajar</v>
      </c>
      <c r="H18" s="249" t="str">
        <f t="shared" si="3"/>
        <v>Senin-Jumat</v>
      </c>
      <c r="I18" s="332">
        <f t="shared" si="4"/>
        <v>600000</v>
      </c>
      <c r="J18" s="331">
        <f t="shared" si="5"/>
        <v>90000</v>
      </c>
      <c r="K18" s="250">
        <f t="shared" si="6"/>
        <v>510000</v>
      </c>
      <c r="M18" s="253"/>
    </row>
    <row r="19" spans="2:13" x14ac:dyDescent="0.3">
      <c r="B19" s="245">
        <v>14</v>
      </c>
      <c r="C19" s="246" t="s">
        <v>583</v>
      </c>
      <c r="D19" s="245" t="s">
        <v>584</v>
      </c>
      <c r="E19" s="247" t="str">
        <f t="shared" si="0"/>
        <v>Senior Programming</v>
      </c>
      <c r="F19" s="248" t="str">
        <f t="shared" si="1"/>
        <v>3</v>
      </c>
      <c r="G19" s="247" t="str">
        <f t="shared" si="2"/>
        <v>Swasta</v>
      </c>
      <c r="H19" s="249" t="str">
        <f t="shared" si="3"/>
        <v>Senin-Jumat</v>
      </c>
      <c r="I19" s="332">
        <f t="shared" si="4"/>
        <v>600000</v>
      </c>
      <c r="J19" s="331">
        <f t="shared" si="5"/>
        <v>90000</v>
      </c>
      <c r="K19" s="250">
        <f t="shared" si="6"/>
        <v>510000</v>
      </c>
      <c r="M19" s="253"/>
    </row>
    <row r="20" spans="2:13" x14ac:dyDescent="0.3">
      <c r="B20" s="245">
        <v>15</v>
      </c>
      <c r="C20" s="246" t="s">
        <v>585</v>
      </c>
      <c r="D20" s="245" t="s">
        <v>586</v>
      </c>
      <c r="E20" s="247" t="str">
        <f t="shared" si="0"/>
        <v>Computer Introduction</v>
      </c>
      <c r="F20" s="248" t="str">
        <f t="shared" si="1"/>
        <v>4</v>
      </c>
      <c r="G20" s="247" t="str">
        <f t="shared" si="2"/>
        <v>PNS</v>
      </c>
      <c r="H20" s="249" t="str">
        <f t="shared" si="3"/>
        <v>Senin-Selasa</v>
      </c>
      <c r="I20" s="332">
        <f t="shared" si="4"/>
        <v>100000</v>
      </c>
      <c r="J20" s="331">
        <f t="shared" si="5"/>
        <v>0</v>
      </c>
      <c r="K20" s="250">
        <f t="shared" si="6"/>
        <v>100000</v>
      </c>
      <c r="M20" s="253"/>
    </row>
    <row r="21" spans="2:13" x14ac:dyDescent="0.3">
      <c r="B21" s="314" t="s">
        <v>587</v>
      </c>
      <c r="C21" s="315"/>
      <c r="D21" s="315"/>
      <c r="E21" s="315"/>
      <c r="F21" s="315"/>
      <c r="G21" s="315"/>
      <c r="H21" s="316"/>
      <c r="I21" s="254">
        <f>SUM(I6:I20)</f>
        <v>5250000</v>
      </c>
      <c r="J21" s="254">
        <f>SUM(J6:J20)</f>
        <v>300000</v>
      </c>
      <c r="K21" s="254">
        <f>SUM(K6:K20)</f>
        <v>4950000</v>
      </c>
    </row>
    <row r="23" spans="2:13" x14ac:dyDescent="0.3">
      <c r="C23" s="305" t="s">
        <v>242</v>
      </c>
      <c r="D23" s="301" t="s">
        <v>553</v>
      </c>
      <c r="E23" s="301" t="s">
        <v>511</v>
      </c>
      <c r="F23" s="301" t="s">
        <v>588</v>
      </c>
      <c r="G23" s="242"/>
      <c r="H23" s="255" t="s">
        <v>80</v>
      </c>
      <c r="I23" s="256" t="s">
        <v>589</v>
      </c>
      <c r="J23" s="256" t="s">
        <v>590</v>
      </c>
      <c r="K23" s="256" t="s">
        <v>591</v>
      </c>
      <c r="L23" s="256" t="s">
        <v>592</v>
      </c>
    </row>
    <row r="24" spans="2:13" x14ac:dyDescent="0.3">
      <c r="C24" s="305"/>
      <c r="D24" s="302"/>
      <c r="E24" s="302"/>
      <c r="F24" s="302"/>
      <c r="G24" s="242"/>
      <c r="H24" s="255" t="s">
        <v>554</v>
      </c>
      <c r="I24" s="257" t="s">
        <v>593</v>
      </c>
      <c r="J24" s="257" t="s">
        <v>594</v>
      </c>
      <c r="K24" s="257" t="s">
        <v>595</v>
      </c>
      <c r="L24" s="257" t="s">
        <v>596</v>
      </c>
    </row>
    <row r="25" spans="2:13" x14ac:dyDescent="0.3">
      <c r="C25" s="258" t="s">
        <v>597</v>
      </c>
      <c r="D25" s="245" t="s">
        <v>598</v>
      </c>
      <c r="E25" s="259">
        <v>100000</v>
      </c>
      <c r="F25" s="260" t="s">
        <v>599</v>
      </c>
      <c r="H25" s="251"/>
    </row>
    <row r="26" spans="2:13" x14ac:dyDescent="0.3">
      <c r="C26" s="258" t="s">
        <v>600</v>
      </c>
      <c r="D26" s="245" t="s">
        <v>601</v>
      </c>
      <c r="E26" s="259">
        <v>450000</v>
      </c>
      <c r="F26" s="260" t="s">
        <v>602</v>
      </c>
    </row>
    <row r="27" spans="2:13" x14ac:dyDescent="0.3">
      <c r="C27" s="258" t="s">
        <v>298</v>
      </c>
      <c r="D27" s="245" t="s">
        <v>603</v>
      </c>
      <c r="E27" s="259">
        <v>300000</v>
      </c>
      <c r="F27" s="260" t="s">
        <v>604</v>
      </c>
    </row>
    <row r="28" spans="2:13" x14ac:dyDescent="0.3">
      <c r="C28" s="258" t="s">
        <v>605</v>
      </c>
      <c r="D28" s="245" t="s">
        <v>606</v>
      </c>
      <c r="E28" s="259">
        <v>600000</v>
      </c>
      <c r="F28" s="260" t="s">
        <v>607</v>
      </c>
      <c r="H28" s="251"/>
    </row>
    <row r="29" spans="2:13" x14ac:dyDescent="0.3">
      <c r="C29" s="258" t="s">
        <v>608</v>
      </c>
      <c r="D29" s="245" t="s">
        <v>609</v>
      </c>
      <c r="E29" s="259">
        <v>300000</v>
      </c>
      <c r="F29" s="260" t="s">
        <v>610</v>
      </c>
      <c r="H29" s="251"/>
    </row>
    <row r="30" spans="2:13" x14ac:dyDescent="0.3">
      <c r="C30" s="252"/>
      <c r="D30" s="252"/>
      <c r="E30" s="252"/>
      <c r="F30" s="252"/>
      <c r="G30" s="252"/>
      <c r="H30" s="252"/>
      <c r="J30" s="261"/>
    </row>
    <row r="31" spans="2:13" x14ac:dyDescent="0.3">
      <c r="C31" s="262" t="s">
        <v>381</v>
      </c>
      <c r="D31" s="252"/>
      <c r="E31" s="252"/>
      <c r="F31" s="252"/>
      <c r="G31" s="252"/>
      <c r="H31" s="252"/>
    </row>
    <row r="32" spans="2:13" x14ac:dyDescent="0.3">
      <c r="C32" s="262" t="s">
        <v>611</v>
      </c>
      <c r="D32" s="263" t="s">
        <v>612</v>
      </c>
      <c r="E32" s="264"/>
      <c r="F32" s="264"/>
      <c r="G32" s="264"/>
      <c r="H32" s="264"/>
      <c r="I32" s="265"/>
    </row>
    <row r="33" spans="3:9" x14ac:dyDescent="0.3">
      <c r="C33" s="262" t="s">
        <v>613</v>
      </c>
      <c r="D33" s="263" t="s">
        <v>614</v>
      </c>
      <c r="E33" s="264"/>
      <c r="F33" s="264"/>
      <c r="G33" s="264"/>
      <c r="H33" s="264"/>
      <c r="I33" s="265"/>
    </row>
    <row r="34" spans="3:9" x14ac:dyDescent="0.3">
      <c r="C34" s="262" t="s">
        <v>615</v>
      </c>
      <c r="D34" s="263" t="s">
        <v>388</v>
      </c>
      <c r="E34" s="264"/>
      <c r="F34" s="264"/>
      <c r="G34" s="264"/>
      <c r="H34" s="264"/>
      <c r="I34" s="265"/>
    </row>
    <row r="35" spans="3:9" x14ac:dyDescent="0.3">
      <c r="C35" s="262" t="s">
        <v>616</v>
      </c>
      <c r="D35" s="263" t="s">
        <v>388</v>
      </c>
      <c r="E35" s="264"/>
      <c r="F35" s="264"/>
      <c r="G35" s="264"/>
      <c r="H35" s="264"/>
      <c r="I35" s="265"/>
    </row>
    <row r="36" spans="3:9" x14ac:dyDescent="0.3">
      <c r="C36" s="262" t="s">
        <v>617</v>
      </c>
      <c r="D36" s="263" t="s">
        <v>388</v>
      </c>
      <c r="E36" s="264"/>
      <c r="F36" s="264"/>
      <c r="G36" s="264"/>
      <c r="H36" s="264"/>
      <c r="I36" s="265"/>
    </row>
    <row r="37" spans="3:9" x14ac:dyDescent="0.3">
      <c r="C37" s="262" t="s">
        <v>618</v>
      </c>
      <c r="D37" s="263" t="s">
        <v>619</v>
      </c>
      <c r="E37" s="264"/>
      <c r="F37" s="264"/>
      <c r="G37" s="264"/>
      <c r="H37" s="264"/>
      <c r="I37" s="265"/>
    </row>
    <row r="38" spans="3:9" x14ac:dyDescent="0.3">
      <c r="C38" s="262" t="s">
        <v>620</v>
      </c>
      <c r="D38" s="263" t="s">
        <v>621</v>
      </c>
      <c r="E38" s="264"/>
      <c r="F38" s="264"/>
      <c r="G38" s="264"/>
      <c r="H38" s="264"/>
      <c r="I38" s="265"/>
    </row>
    <row r="39" spans="3:9" x14ac:dyDescent="0.3">
      <c r="C39" s="252"/>
      <c r="D39" s="252"/>
      <c r="E39" s="252"/>
      <c r="F39" s="252"/>
      <c r="G39" s="252"/>
      <c r="H39" s="252"/>
    </row>
  </sheetData>
  <mergeCells count="16">
    <mergeCell ref="B21:H21"/>
    <mergeCell ref="C23:C24"/>
    <mergeCell ref="D23:D24"/>
    <mergeCell ref="E23:E24"/>
    <mergeCell ref="F23:F24"/>
    <mergeCell ref="B1:K1"/>
    <mergeCell ref="B2:K2"/>
    <mergeCell ref="B4:B5"/>
    <mergeCell ref="C4:C5"/>
    <mergeCell ref="D4:D5"/>
    <mergeCell ref="E4:E5"/>
    <mergeCell ref="F4:F5"/>
    <mergeCell ref="G4:G5"/>
    <mergeCell ref="I4:I5"/>
    <mergeCell ref="J4:J5"/>
    <mergeCell ref="K4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Dasar 1</vt:lpstr>
      <vt:lpstr>Latihan 1-1</vt:lpstr>
      <vt:lpstr>Latihan 1-2</vt:lpstr>
      <vt:lpstr>Dasar 2</vt:lpstr>
      <vt:lpstr>Latihan 2-1</vt:lpstr>
      <vt:lpstr>Latihan 2-2</vt:lpstr>
      <vt:lpstr>Latihan 2-3</vt:lpstr>
      <vt:lpstr>Latihan 3</vt:lpstr>
      <vt:lpstr>Latihan 4</vt:lpstr>
      <vt:lpstr>Latihan 5</vt:lpstr>
      <vt:lpstr>Latihan 6</vt:lpstr>
      <vt:lpstr>Latihan 7</vt:lpstr>
    </vt:vector>
  </TitlesOfParts>
  <Company>FE-UMM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Laboratorium Komputer</dc:creator>
  <cp:lastModifiedBy>ASUS K16</cp:lastModifiedBy>
  <dcterms:created xsi:type="dcterms:W3CDTF">2010-06-03T11:29:38Z</dcterms:created>
  <dcterms:modified xsi:type="dcterms:W3CDTF">2026-09-10T13:03:53Z</dcterms:modified>
</cp:coreProperties>
</file>