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Quiz\"/>
    </mc:Choice>
  </mc:AlternateContent>
  <xr:revisionPtr revIDLastSave="0" documentId="13_ncr:1_{00FF49FE-D3CB-46E6-BEB0-9C39EC410C13}" xr6:coauthVersionLast="47" xr6:coauthVersionMax="47" xr10:uidLastSave="{00000000-0000-0000-0000-000000000000}"/>
  <bookViews>
    <workbookView xWindow="-108" yWindow="-108" windowWidth="23256" windowHeight="13896" tabRatio="972" activeTab="24" xr2:uid="{00000000-000D-0000-FFFF-FFFF00000000}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  <sheet name="7" sheetId="3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7" r:id="rId16"/>
    <sheet name="17" sheetId="18" r:id="rId17"/>
    <sheet name="18" sheetId="24" r:id="rId18"/>
    <sheet name="19" sheetId="25" r:id="rId19"/>
    <sheet name="20" sheetId="26" r:id="rId20"/>
    <sheet name="21" sheetId="19" r:id="rId21"/>
    <sheet name="22" sheetId="20" r:id="rId22"/>
    <sheet name="23" sheetId="23" r:id="rId23"/>
    <sheet name="24" sheetId="22" r:id="rId24"/>
    <sheet name="25" sheetId="21" r:id="rId25"/>
    <sheet name="26" sheetId="28" r:id="rId26"/>
    <sheet name="27" sheetId="29" r:id="rId27"/>
    <sheet name="28" sheetId="30" r:id="rId28"/>
    <sheet name="29" sheetId="31" r:id="rId29"/>
    <sheet name="30" sheetId="32" r:id="rId30"/>
  </sheets>
  <externalReferences>
    <externalReference r:id="rId31"/>
  </externalReferences>
  <definedNames>
    <definedName name="BARANG">'29'!$B$22:$D$34</definedName>
    <definedName name="Kode">'30'!$F$7:$M$9</definedName>
    <definedName name="KODE_2">'30'!$F$7:$K$9</definedName>
    <definedName name="KODE_BARANG">'30'!$A$4:$D$11</definedName>
    <definedName name="tabel1">#REF!</definedName>
    <definedName name="tabel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2" l="1"/>
  <c r="F18" i="30"/>
  <c r="E19" i="30"/>
  <c r="E20" i="30"/>
  <c r="E21" i="30"/>
  <c r="E22" i="30"/>
  <c r="E23" i="30"/>
  <c r="E24" i="30"/>
  <c r="E25" i="30"/>
  <c r="E18" i="30"/>
  <c r="P6" i="29"/>
  <c r="O6" i="29"/>
  <c r="N7" i="29"/>
  <c r="N8" i="29"/>
  <c r="N9" i="29"/>
  <c r="N10" i="29"/>
  <c r="N11" i="29"/>
  <c r="N12" i="29"/>
  <c r="N13" i="29"/>
  <c r="N14" i="29"/>
  <c r="N15" i="29"/>
  <c r="N6" i="29"/>
  <c r="M7" i="29"/>
  <c r="M8" i="29"/>
  <c r="M9" i="29"/>
  <c r="M10" i="29"/>
  <c r="M11" i="29"/>
  <c r="M12" i="29"/>
  <c r="M13" i="29"/>
  <c r="M14" i="29"/>
  <c r="M15" i="29"/>
  <c r="M6" i="29"/>
  <c r="L6" i="29"/>
  <c r="L12" i="29"/>
  <c r="H15" i="29"/>
  <c r="H14" i="29"/>
  <c r="L14" i="29" s="1"/>
  <c r="H13" i="29"/>
  <c r="L13" i="29" s="1"/>
  <c r="H12" i="29"/>
  <c r="H11" i="29"/>
  <c r="H10" i="29"/>
  <c r="L10" i="29" s="1"/>
  <c r="H9" i="29"/>
  <c r="L9" i="29" s="1"/>
  <c r="H8" i="29"/>
  <c r="L8" i="29" s="1"/>
  <c r="H7" i="29"/>
  <c r="L7" i="29" s="1"/>
  <c r="H6" i="29"/>
  <c r="L11" i="29"/>
  <c r="L15" i="29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8" i="28"/>
  <c r="J13" i="17"/>
  <c r="J14" i="17"/>
  <c r="J15" i="17"/>
  <c r="J16" i="17"/>
  <c r="J17" i="17"/>
  <c r="J18" i="17"/>
  <c r="J19" i="17"/>
  <c r="J20" i="17"/>
  <c r="J21" i="17"/>
  <c r="J12" i="17"/>
  <c r="L13" i="17"/>
  <c r="L14" i="17"/>
  <c r="L15" i="17"/>
  <c r="L16" i="17"/>
  <c r="L17" i="17"/>
  <c r="L18" i="17"/>
  <c r="L19" i="17"/>
  <c r="L20" i="17"/>
  <c r="L21" i="17"/>
  <c r="L12" i="17"/>
  <c r="K13" i="17"/>
  <c r="K14" i="17"/>
  <c r="K15" i="17"/>
  <c r="K16" i="17"/>
  <c r="K17" i="17"/>
  <c r="K18" i="17"/>
  <c r="K19" i="17"/>
  <c r="K20" i="17"/>
  <c r="K21" i="17"/>
  <c r="K12" i="17"/>
  <c r="I13" i="17"/>
  <c r="I14" i="17"/>
  <c r="I15" i="17"/>
  <c r="I16" i="17"/>
  <c r="I17" i="17"/>
  <c r="I18" i="17"/>
  <c r="I19" i="17"/>
  <c r="I20" i="17"/>
  <c r="I21" i="17"/>
  <c r="I12" i="17"/>
  <c r="H18" i="15"/>
  <c r="I18" i="15"/>
  <c r="J18" i="15"/>
  <c r="G18" i="15"/>
  <c r="J7" i="15"/>
  <c r="I7" i="15"/>
  <c r="G7" i="15"/>
  <c r="E8" i="15"/>
  <c r="E9" i="15"/>
  <c r="E10" i="15"/>
  <c r="E11" i="15"/>
  <c r="E12" i="15"/>
  <c r="E13" i="15"/>
  <c r="E14" i="15"/>
  <c r="E15" i="15"/>
  <c r="E16" i="15"/>
  <c r="E17" i="15"/>
  <c r="E7" i="15"/>
  <c r="L7" i="14"/>
  <c r="H11" i="13"/>
  <c r="I25" i="13"/>
  <c r="I24" i="13"/>
  <c r="H10" i="12"/>
  <c r="H11" i="12"/>
  <c r="H12" i="12"/>
  <c r="H13" i="12"/>
  <c r="H14" i="12"/>
  <c r="H15" i="12"/>
  <c r="H16" i="12"/>
  <c r="H17" i="12"/>
  <c r="H9" i="12"/>
  <c r="G8" i="11" a="1"/>
  <c r="G8" i="11" s="1"/>
  <c r="G9" i="11" a="1"/>
  <c r="G9" i="11" s="1"/>
  <c r="G10" i="11" a="1"/>
  <c r="G10" i="11" s="1"/>
  <c r="G11" i="11" a="1"/>
  <c r="G11" i="11" s="1"/>
  <c r="G12" i="11" a="1"/>
  <c r="G12" i="11"/>
  <c r="G13" i="11" a="1"/>
  <c r="G13" i="11" s="1"/>
  <c r="G14" i="11" a="1"/>
  <c r="G14" i="11" s="1"/>
  <c r="G7" i="11" a="1"/>
  <c r="G7" i="11" s="1"/>
  <c r="F10" i="9"/>
  <c r="F11" i="9"/>
  <c r="F12" i="9"/>
  <c r="F13" i="9"/>
  <c r="F14" i="9"/>
  <c r="F15" i="9"/>
  <c r="F16" i="9"/>
  <c r="F17" i="9"/>
  <c r="F18" i="9"/>
  <c r="F9" i="9"/>
  <c r="L9" i="3"/>
  <c r="D8" i="3"/>
  <c r="G10" i="7"/>
  <c r="G11" i="7"/>
  <c r="G12" i="7"/>
  <c r="G13" i="7"/>
  <c r="G9" i="7"/>
  <c r="H11" i="6"/>
  <c r="H12" i="6"/>
  <c r="H13" i="6"/>
  <c r="H14" i="6"/>
  <c r="H15" i="6"/>
  <c r="H16" i="6"/>
  <c r="H17" i="6"/>
  <c r="H18" i="6"/>
  <c r="H19" i="6"/>
  <c r="H10" i="6"/>
  <c r="G11" i="6"/>
  <c r="G12" i="6"/>
  <c r="G13" i="6"/>
  <c r="G14" i="6"/>
  <c r="G15" i="6"/>
  <c r="G16" i="6"/>
  <c r="G17" i="6"/>
  <c r="G18" i="6"/>
  <c r="G19" i="6"/>
  <c r="G10" i="6"/>
  <c r="F11" i="6"/>
  <c r="F12" i="6"/>
  <c r="F13" i="6"/>
  <c r="F14" i="6"/>
  <c r="F15" i="6"/>
  <c r="F16" i="6"/>
  <c r="F17" i="6"/>
  <c r="F18" i="6"/>
  <c r="F19" i="6"/>
  <c r="F10" i="6"/>
  <c r="E11" i="6"/>
  <c r="E12" i="6"/>
  <c r="E13" i="6"/>
  <c r="E14" i="6"/>
  <c r="E15" i="6"/>
  <c r="E16" i="6"/>
  <c r="E17" i="6"/>
  <c r="E18" i="6"/>
  <c r="E19" i="6"/>
  <c r="E10" i="6"/>
  <c r="D11" i="6"/>
  <c r="D12" i="6"/>
  <c r="D13" i="6"/>
  <c r="D14" i="6"/>
  <c r="D15" i="6"/>
  <c r="D16" i="6"/>
  <c r="D17" i="6"/>
  <c r="D18" i="6"/>
  <c r="D19" i="6"/>
  <c r="D10" i="6"/>
  <c r="G21" i="5"/>
  <c r="F21" i="5"/>
  <c r="G10" i="5"/>
  <c r="G11" i="5"/>
  <c r="G12" i="5"/>
  <c r="G13" i="5"/>
  <c r="G14" i="5"/>
  <c r="G15" i="5"/>
  <c r="G16" i="5"/>
  <c r="G17" i="5"/>
  <c r="G18" i="5"/>
  <c r="G19" i="5"/>
  <c r="G20" i="5"/>
  <c r="G9" i="5"/>
  <c r="F10" i="5"/>
  <c r="F11" i="5"/>
  <c r="F12" i="5"/>
  <c r="F13" i="5"/>
  <c r="F14" i="5"/>
  <c r="F15" i="5"/>
  <c r="F16" i="5"/>
  <c r="F17" i="5"/>
  <c r="F18" i="5"/>
  <c r="F19" i="5"/>
  <c r="F20" i="5"/>
  <c r="F9" i="5"/>
  <c r="D9" i="4"/>
  <c r="D10" i="4"/>
  <c r="D11" i="4"/>
  <c r="D12" i="4"/>
  <c r="D13" i="4"/>
  <c r="D14" i="4"/>
  <c r="D15" i="4"/>
  <c r="D8" i="4"/>
  <c r="I16" i="32" l="1"/>
  <c r="J16" i="32" s="1"/>
  <c r="M16" i="32" s="1"/>
  <c r="I17" i="32"/>
  <c r="K17" i="32" s="1"/>
  <c r="I18" i="32"/>
  <c r="K18" i="32" s="1"/>
  <c r="I19" i="32"/>
  <c r="K19" i="32" s="1"/>
  <c r="I20" i="32"/>
  <c r="J20" i="32" s="1"/>
  <c r="M20" i="32" s="1"/>
  <c r="I21" i="32"/>
  <c r="K21" i="32" s="1"/>
  <c r="I22" i="32"/>
  <c r="K22" i="32" s="1"/>
  <c r="I23" i="32"/>
  <c r="K23" i="32" s="1"/>
  <c r="I24" i="32"/>
  <c r="I25" i="32"/>
  <c r="K25" i="32" s="1"/>
  <c r="I15" i="32"/>
  <c r="K15" i="32" s="1"/>
  <c r="H23" i="32"/>
  <c r="F16" i="32"/>
  <c r="H16" i="32" s="1"/>
  <c r="L16" i="32" s="1"/>
  <c r="F17" i="32"/>
  <c r="H17" i="32" s="1"/>
  <c r="F18" i="32"/>
  <c r="H18" i="32" s="1"/>
  <c r="F19" i="32"/>
  <c r="H19" i="32" s="1"/>
  <c r="F20" i="32"/>
  <c r="H20" i="32" s="1"/>
  <c r="L20" i="32" s="1"/>
  <c r="F21" i="32"/>
  <c r="H21" i="32" s="1"/>
  <c r="F22" i="32"/>
  <c r="H22" i="32" s="1"/>
  <c r="F23" i="32"/>
  <c r="F24" i="32"/>
  <c r="H24" i="32" s="1"/>
  <c r="F25" i="32"/>
  <c r="H25" i="32" s="1"/>
  <c r="H15" i="32"/>
  <c r="C16" i="32"/>
  <c r="C17" i="32"/>
  <c r="C18" i="32"/>
  <c r="C19" i="32"/>
  <c r="C20" i="32"/>
  <c r="C21" i="32"/>
  <c r="C22" i="32"/>
  <c r="C23" i="32"/>
  <c r="C24" i="32"/>
  <c r="C25" i="32"/>
  <c r="C15" i="32"/>
  <c r="B16" i="32"/>
  <c r="B17" i="32"/>
  <c r="B18" i="32"/>
  <c r="B19" i="32"/>
  <c r="B20" i="32"/>
  <c r="B21" i="32"/>
  <c r="B22" i="32"/>
  <c r="B23" i="32"/>
  <c r="B24" i="32"/>
  <c r="B25" i="32"/>
  <c r="B15" i="32"/>
  <c r="I7" i="31"/>
  <c r="J7" i="31" s="1"/>
  <c r="I8" i="31"/>
  <c r="J8" i="31" s="1"/>
  <c r="I9" i="31"/>
  <c r="J9" i="31" s="1"/>
  <c r="I10" i="31"/>
  <c r="J10" i="31" s="1"/>
  <c r="I11" i="31"/>
  <c r="J11" i="31" s="1"/>
  <c r="I16" i="31"/>
  <c r="J16" i="31" s="1"/>
  <c r="I17" i="31"/>
  <c r="J17" i="31" s="1"/>
  <c r="I18" i="31"/>
  <c r="J18" i="31" s="1"/>
  <c r="I19" i="31"/>
  <c r="J19" i="31" s="1"/>
  <c r="I20" i="31"/>
  <c r="J20" i="31" s="1"/>
  <c r="I6" i="31"/>
  <c r="J6" i="31" s="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6" i="31"/>
  <c r="G7" i="31"/>
  <c r="G8" i="31"/>
  <c r="G9" i="31"/>
  <c r="G10" i="31"/>
  <c r="G11" i="31"/>
  <c r="G12" i="31"/>
  <c r="I12" i="31" s="1"/>
  <c r="J12" i="31" s="1"/>
  <c r="G13" i="31"/>
  <c r="I13" i="31" s="1"/>
  <c r="J13" i="31" s="1"/>
  <c r="G14" i="31"/>
  <c r="I14" i="31" s="1"/>
  <c r="J14" i="31" s="1"/>
  <c r="G15" i="31"/>
  <c r="I15" i="31" s="1"/>
  <c r="J15" i="31" s="1"/>
  <c r="G16" i="31"/>
  <c r="G17" i="31"/>
  <c r="G18" i="31"/>
  <c r="G19" i="31"/>
  <c r="G20" i="31"/>
  <c r="G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6" i="31"/>
  <c r="L17" i="32" l="1"/>
  <c r="K20" i="32"/>
  <c r="J24" i="32"/>
  <c r="M24" i="32" s="1"/>
  <c r="K16" i="32"/>
  <c r="J21" i="32"/>
  <c r="M21" i="32" s="1"/>
  <c r="L21" i="32"/>
  <c r="J25" i="32"/>
  <c r="J17" i="32"/>
  <c r="M17" i="32" s="1"/>
  <c r="K24" i="32"/>
  <c r="J15" i="32"/>
  <c r="M15" i="32" s="1"/>
  <c r="J22" i="32"/>
  <c r="M22" i="32" s="1"/>
  <c r="J18" i="32"/>
  <c r="M18" i="32" s="1"/>
  <c r="J23" i="32"/>
  <c r="M23" i="32" s="1"/>
  <c r="J19" i="32"/>
  <c r="M19" i="32" s="1"/>
  <c r="L18" i="32" l="1"/>
  <c r="L19" i="32"/>
  <c r="L22" i="32"/>
  <c r="L24" i="32"/>
  <c r="L15" i="32"/>
  <c r="L25" i="32"/>
  <c r="M25" i="32"/>
  <c r="L23" i="32"/>
  <c r="O8" i="29"/>
  <c r="O10" i="29"/>
  <c r="O11" i="29"/>
  <c r="O12" i="29"/>
  <c r="O13" i="29"/>
  <c r="O14" i="29"/>
  <c r="O15" i="29"/>
  <c r="K8" i="29"/>
  <c r="K9" i="29"/>
  <c r="K10" i="29"/>
  <c r="K11" i="29"/>
  <c r="K12" i="29"/>
  <c r="K13" i="29"/>
  <c r="K14" i="29"/>
  <c r="K15" i="29"/>
  <c r="K7" i="29"/>
  <c r="J8" i="29"/>
  <c r="J9" i="29"/>
  <c r="J10" i="29"/>
  <c r="J11" i="29"/>
  <c r="J12" i="29"/>
  <c r="J13" i="29"/>
  <c r="J14" i="29"/>
  <c r="J15" i="29"/>
  <c r="J7" i="29"/>
  <c r="I8" i="29"/>
  <c r="I9" i="29"/>
  <c r="I10" i="29"/>
  <c r="I11" i="29"/>
  <c r="I12" i="29"/>
  <c r="I13" i="29"/>
  <c r="I14" i="29"/>
  <c r="I15" i="29"/>
  <c r="I7" i="29"/>
  <c r="E8" i="29"/>
  <c r="E9" i="29"/>
  <c r="E10" i="29"/>
  <c r="E11" i="29"/>
  <c r="E12" i="29"/>
  <c r="E13" i="29"/>
  <c r="E14" i="29"/>
  <c r="E15" i="29"/>
  <c r="E7" i="29"/>
  <c r="O7" i="29" s="1"/>
  <c r="F9" i="23"/>
  <c r="E9" i="23"/>
  <c r="D9" i="23"/>
  <c r="H13" i="17"/>
  <c r="H14" i="17"/>
  <c r="H15" i="17"/>
  <c r="H16" i="17"/>
  <c r="H17" i="17"/>
  <c r="H18" i="17"/>
  <c r="H19" i="17"/>
  <c r="G13" i="17"/>
  <c r="G14" i="17"/>
  <c r="G15" i="17"/>
  <c r="G16" i="17"/>
  <c r="G17" i="17"/>
  <c r="G18" i="17"/>
  <c r="G19" i="17"/>
  <c r="G20" i="17"/>
  <c r="H20" i="17" s="1"/>
  <c r="G21" i="17"/>
  <c r="H21" i="17" s="1"/>
  <c r="C8" i="15"/>
  <c r="C9" i="15"/>
  <c r="C10" i="15"/>
  <c r="C11" i="15"/>
  <c r="C12" i="15"/>
  <c r="C13" i="15"/>
  <c r="C14" i="15"/>
  <c r="C15" i="15"/>
  <c r="C16" i="15"/>
  <c r="C17" i="15"/>
  <c r="C7" i="15"/>
  <c r="B8" i="15"/>
  <c r="B9" i="15"/>
  <c r="B10" i="15"/>
  <c r="B11" i="15"/>
  <c r="B12" i="15"/>
  <c r="B13" i="15"/>
  <c r="B14" i="15"/>
  <c r="B15" i="15"/>
  <c r="B16" i="15"/>
  <c r="B17" i="15"/>
  <c r="B7" i="15"/>
  <c r="I16" i="13"/>
  <c r="I17" i="13"/>
  <c r="I18" i="13"/>
  <c r="I21" i="13"/>
  <c r="I22" i="13"/>
  <c r="H16" i="13"/>
  <c r="H17" i="13"/>
  <c r="H18" i="13"/>
  <c r="H21" i="13"/>
  <c r="H22" i="13"/>
  <c r="G12" i="13"/>
  <c r="G16" i="13"/>
  <c r="G17" i="13"/>
  <c r="G18" i="13"/>
  <c r="G20" i="13"/>
  <c r="G21" i="13"/>
  <c r="G22" i="13"/>
  <c r="D12" i="13"/>
  <c r="F12" i="13" s="1"/>
  <c r="D13" i="13"/>
  <c r="F13" i="13" s="1"/>
  <c r="H13" i="13" s="1"/>
  <c r="D14" i="13"/>
  <c r="F14" i="13" s="1"/>
  <c r="H14" i="13" s="1"/>
  <c r="D15" i="13"/>
  <c r="E15" i="13" s="1"/>
  <c r="D16" i="13"/>
  <c r="F16" i="13" s="1"/>
  <c r="D17" i="13"/>
  <c r="F17" i="13" s="1"/>
  <c r="D18" i="13"/>
  <c r="F18" i="13" s="1"/>
  <c r="D19" i="13"/>
  <c r="E19" i="13" s="1"/>
  <c r="D20" i="13"/>
  <c r="E20" i="13" s="1"/>
  <c r="D21" i="13"/>
  <c r="F21" i="13" s="1"/>
  <c r="D22" i="13"/>
  <c r="F22" i="13" s="1"/>
  <c r="C12" i="13"/>
  <c r="C13" i="13"/>
  <c r="G13" i="13" s="1"/>
  <c r="C14" i="13"/>
  <c r="G14" i="13" s="1"/>
  <c r="C15" i="13"/>
  <c r="C16" i="13"/>
  <c r="C17" i="13"/>
  <c r="C18" i="13"/>
  <c r="C19" i="13"/>
  <c r="C20" i="13"/>
  <c r="C21" i="13"/>
  <c r="C22" i="13"/>
  <c r="D9" i="12"/>
  <c r="F15" i="11"/>
  <c r="H15" i="5"/>
  <c r="H17" i="5"/>
  <c r="H18" i="5"/>
  <c r="H20" i="5"/>
  <c r="H10" i="5"/>
  <c r="H11" i="5"/>
  <c r="H12" i="5"/>
  <c r="H13" i="5"/>
  <c r="H14" i="5"/>
  <c r="H16" i="5"/>
  <c r="H19" i="5"/>
  <c r="H9" i="5"/>
  <c r="D23" i="2"/>
  <c r="G23" i="2" s="1"/>
  <c r="E23" i="2"/>
  <c r="F23" i="2"/>
  <c r="C23" i="2"/>
  <c r="D22" i="2"/>
  <c r="E22" i="2"/>
  <c r="F22" i="2"/>
  <c r="C22" i="2"/>
  <c r="G22" i="2" s="1"/>
  <c r="D21" i="2"/>
  <c r="E21" i="2"/>
  <c r="F21" i="2"/>
  <c r="C21" i="2"/>
  <c r="G21" i="2" s="1"/>
  <c r="G9" i="2"/>
  <c r="G10" i="2"/>
  <c r="G11" i="2"/>
  <c r="G12" i="2"/>
  <c r="G13" i="2"/>
  <c r="G14" i="2"/>
  <c r="G15" i="2"/>
  <c r="G16" i="2"/>
  <c r="G17" i="2"/>
  <c r="G18" i="2"/>
  <c r="G19" i="2"/>
  <c r="E20" i="2"/>
  <c r="F20" i="2"/>
  <c r="D20" i="2"/>
  <c r="G20" i="2" s="1"/>
  <c r="C20" i="2"/>
  <c r="P10" i="29" l="1"/>
  <c r="Q10" i="29" s="1"/>
  <c r="H21" i="5"/>
  <c r="P8" i="29"/>
  <c r="Q8" i="29" s="1"/>
  <c r="P13" i="29"/>
  <c r="Q13" i="29" s="1"/>
  <c r="G15" i="13"/>
  <c r="H12" i="13"/>
  <c r="I12" i="13" s="1"/>
  <c r="P7" i="29"/>
  <c r="P12" i="29"/>
  <c r="Q12" i="29" s="1"/>
  <c r="O9" i="29"/>
  <c r="P9" i="29" s="1"/>
  <c r="Q9" i="29" s="1"/>
  <c r="P11" i="29"/>
  <c r="Q11" i="29" s="1"/>
  <c r="I14" i="13"/>
  <c r="I13" i="13"/>
  <c r="E12" i="13"/>
  <c r="F15" i="13"/>
  <c r="E16" i="13"/>
  <c r="F20" i="13"/>
  <c r="F19" i="13"/>
  <c r="E21" i="13"/>
  <c r="E17" i="13"/>
  <c r="E13" i="13"/>
  <c r="E22" i="13"/>
  <c r="E18" i="13"/>
  <c r="E14" i="13"/>
  <c r="G19" i="30"/>
  <c r="G20" i="30"/>
  <c r="G21" i="30"/>
  <c r="G22" i="30"/>
  <c r="G23" i="30"/>
  <c r="G24" i="30"/>
  <c r="G25" i="30"/>
  <c r="F19" i="30"/>
  <c r="F20" i="30"/>
  <c r="I20" i="30" s="1"/>
  <c r="F21" i="30"/>
  <c r="F22" i="30"/>
  <c r="I22" i="30" s="1"/>
  <c r="F23" i="30"/>
  <c r="F24" i="30"/>
  <c r="I24" i="30" s="1"/>
  <c r="F25" i="30"/>
  <c r="H19" i="30"/>
  <c r="H20" i="30"/>
  <c r="H21" i="30"/>
  <c r="H22" i="30"/>
  <c r="H23" i="30"/>
  <c r="H24" i="30"/>
  <c r="H25" i="30"/>
  <c r="D19" i="30"/>
  <c r="D20" i="30"/>
  <c r="D21" i="30"/>
  <c r="D22" i="30"/>
  <c r="D23" i="30"/>
  <c r="D24" i="30"/>
  <c r="D25" i="30"/>
  <c r="C19" i="30"/>
  <c r="C20" i="30"/>
  <c r="C21" i="30"/>
  <c r="C22" i="30"/>
  <c r="C23" i="30"/>
  <c r="C24" i="30"/>
  <c r="C25" i="30"/>
  <c r="G18" i="30"/>
  <c r="H18" i="30"/>
  <c r="D18" i="30"/>
  <c r="C18" i="30"/>
  <c r="K6" i="29"/>
  <c r="J6" i="29"/>
  <c r="I6" i="29"/>
  <c r="E6" i="29"/>
  <c r="F9" i="28"/>
  <c r="J9" i="28" s="1"/>
  <c r="F10" i="28"/>
  <c r="J10" i="28" s="1"/>
  <c r="F11" i="28"/>
  <c r="J11" i="28" s="1"/>
  <c r="F12" i="28"/>
  <c r="J12" i="28" s="1"/>
  <c r="F13" i="28"/>
  <c r="J13" i="28" s="1"/>
  <c r="F14" i="28"/>
  <c r="J14" i="28" s="1"/>
  <c r="F15" i="28"/>
  <c r="J15" i="28" s="1"/>
  <c r="F16" i="28"/>
  <c r="J16" i="28" s="1"/>
  <c r="F17" i="28"/>
  <c r="J17" i="28" s="1"/>
  <c r="F18" i="28"/>
  <c r="J18" i="28" s="1"/>
  <c r="F19" i="28"/>
  <c r="J19" i="28" s="1"/>
  <c r="F20" i="28"/>
  <c r="J20" i="28" s="1"/>
  <c r="F21" i="28"/>
  <c r="J21" i="28" s="1"/>
  <c r="F22" i="28"/>
  <c r="J22" i="28" s="1"/>
  <c r="F8" i="28"/>
  <c r="J8" i="28" s="1"/>
  <c r="G12" i="17"/>
  <c r="D13" i="17"/>
  <c r="D14" i="17"/>
  <c r="D15" i="17"/>
  <c r="D16" i="17"/>
  <c r="D17" i="17"/>
  <c r="D18" i="17"/>
  <c r="D19" i="17"/>
  <c r="D20" i="17"/>
  <c r="D21" i="17"/>
  <c r="D12" i="17"/>
  <c r="D11" i="13"/>
  <c r="C11" i="13"/>
  <c r="F9" i="18"/>
  <c r="H9" i="18" s="1"/>
  <c r="F10" i="18"/>
  <c r="H10" i="18" s="1"/>
  <c r="F11" i="18"/>
  <c r="F12" i="18"/>
  <c r="H12" i="18" s="1"/>
  <c r="F8" i="18"/>
  <c r="E9" i="18"/>
  <c r="E10" i="18"/>
  <c r="E11" i="18"/>
  <c r="E12" i="18"/>
  <c r="E8" i="18"/>
  <c r="D10" i="18"/>
  <c r="D11" i="18"/>
  <c r="D12" i="18"/>
  <c r="D9" i="18"/>
  <c r="D8" i="18"/>
  <c r="H7" i="24"/>
  <c r="H11" i="24"/>
  <c r="G7" i="24"/>
  <c r="I7" i="24" s="1"/>
  <c r="G8" i="24"/>
  <c r="I8" i="24" s="1"/>
  <c r="G9" i="24"/>
  <c r="G10" i="24"/>
  <c r="I10" i="24" s="1"/>
  <c r="G11" i="24"/>
  <c r="I11" i="24" s="1"/>
  <c r="G12" i="24"/>
  <c r="I12" i="24" s="1"/>
  <c r="G13" i="24"/>
  <c r="G14" i="24"/>
  <c r="I14" i="24" s="1"/>
  <c r="G15" i="24"/>
  <c r="I15" i="24" s="1"/>
  <c r="G6" i="24"/>
  <c r="I6" i="24" s="1"/>
  <c r="H8" i="15"/>
  <c r="I8" i="15" s="1"/>
  <c r="J8" i="15" s="1"/>
  <c r="G8" i="15"/>
  <c r="G9" i="15"/>
  <c r="G10" i="15"/>
  <c r="G11" i="15"/>
  <c r="G12" i="15"/>
  <c r="G13" i="15"/>
  <c r="G14" i="15"/>
  <c r="G15" i="15"/>
  <c r="G16" i="15"/>
  <c r="G17" i="15"/>
  <c r="H9" i="15"/>
  <c r="H10" i="15"/>
  <c r="H11" i="15"/>
  <c r="H12" i="15"/>
  <c r="I12" i="15" s="1"/>
  <c r="J12" i="15" s="1"/>
  <c r="H13" i="15"/>
  <c r="H14" i="15"/>
  <c r="H15" i="15"/>
  <c r="H16" i="15"/>
  <c r="I16" i="15" s="1"/>
  <c r="J16" i="15" s="1"/>
  <c r="H17" i="15"/>
  <c r="H7" i="15"/>
  <c r="I10" i="14"/>
  <c r="I11" i="14"/>
  <c r="I12" i="14"/>
  <c r="I17" i="14"/>
  <c r="I19" i="14"/>
  <c r="I20" i="14"/>
  <c r="I8" i="14"/>
  <c r="D10" i="14"/>
  <c r="F10" i="14" s="1"/>
  <c r="D11" i="14"/>
  <c r="F11" i="14" s="1"/>
  <c r="D12" i="14"/>
  <c r="F12" i="14" s="1"/>
  <c r="D13" i="14"/>
  <c r="F13" i="14" s="1"/>
  <c r="I13" i="14" s="1"/>
  <c r="D14" i="14"/>
  <c r="F14" i="14" s="1"/>
  <c r="D15" i="14"/>
  <c r="F15" i="14" s="1"/>
  <c r="D16" i="14"/>
  <c r="F16" i="14" s="1"/>
  <c r="D17" i="14"/>
  <c r="F17" i="14" s="1"/>
  <c r="D18" i="14"/>
  <c r="F18" i="14" s="1"/>
  <c r="D19" i="14"/>
  <c r="F19" i="14" s="1"/>
  <c r="D20" i="14"/>
  <c r="F20" i="14" s="1"/>
  <c r="D21" i="14"/>
  <c r="F21" i="14" s="1"/>
  <c r="D9" i="14"/>
  <c r="F9" i="14" s="1"/>
  <c r="D8" i="14"/>
  <c r="F8" i="14" s="1"/>
  <c r="D7" i="14"/>
  <c r="F7" i="14" s="1"/>
  <c r="C10" i="14"/>
  <c r="C11" i="14"/>
  <c r="C12" i="14"/>
  <c r="C13" i="14"/>
  <c r="C14" i="14"/>
  <c r="C15" i="14"/>
  <c r="C16" i="14"/>
  <c r="C17" i="14"/>
  <c r="C18" i="14"/>
  <c r="C19" i="14"/>
  <c r="C20" i="14"/>
  <c r="C21" i="14"/>
  <c r="C9" i="14"/>
  <c r="C8" i="14"/>
  <c r="C7" i="14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1" i="12"/>
  <c r="F11" i="12" s="1"/>
  <c r="E10" i="12"/>
  <c r="F10" i="12" s="1"/>
  <c r="D12" i="12"/>
  <c r="D13" i="12"/>
  <c r="D14" i="12"/>
  <c r="D15" i="12"/>
  <c r="D16" i="12"/>
  <c r="D17" i="12"/>
  <c r="D11" i="12"/>
  <c r="D10" i="12"/>
  <c r="G10" i="12"/>
  <c r="G11" i="12"/>
  <c r="G12" i="12"/>
  <c r="G13" i="12"/>
  <c r="G14" i="12"/>
  <c r="G15" i="12"/>
  <c r="G16" i="12"/>
  <c r="G17" i="12"/>
  <c r="G9" i="12"/>
  <c r="E9" i="12"/>
  <c r="F9" i="12" s="1"/>
  <c r="G12" i="8"/>
  <c r="H12" i="8" s="1"/>
  <c r="G11" i="8"/>
  <c r="H11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10" i="8"/>
  <c r="H10" i="8" s="1"/>
  <c r="H9" i="20"/>
  <c r="H10" i="20"/>
  <c r="H11" i="20"/>
  <c r="H12" i="20"/>
  <c r="H13" i="20"/>
  <c r="H14" i="20"/>
  <c r="H15" i="20"/>
  <c r="H16" i="20"/>
  <c r="H17" i="20"/>
  <c r="H8" i="20"/>
  <c r="G9" i="20"/>
  <c r="G10" i="20"/>
  <c r="G11" i="20"/>
  <c r="G12" i="20"/>
  <c r="G13" i="20"/>
  <c r="G14" i="20"/>
  <c r="G15" i="20"/>
  <c r="G16" i="20"/>
  <c r="G17" i="20"/>
  <c r="G8" i="20"/>
  <c r="E9" i="20"/>
  <c r="E10" i="20"/>
  <c r="E11" i="20"/>
  <c r="F11" i="20" s="1"/>
  <c r="E12" i="20"/>
  <c r="F12" i="20" s="1"/>
  <c r="E13" i="20"/>
  <c r="F13" i="20" s="1"/>
  <c r="E14" i="20"/>
  <c r="F14" i="20" s="1"/>
  <c r="E15" i="20"/>
  <c r="F15" i="20" s="1"/>
  <c r="E16" i="20"/>
  <c r="F16" i="20" s="1"/>
  <c r="E17" i="20"/>
  <c r="F17" i="20" s="1"/>
  <c r="E8" i="20"/>
  <c r="F8" i="20" s="1"/>
  <c r="I8" i="20" s="1"/>
  <c r="G9" i="23"/>
  <c r="E10" i="23"/>
  <c r="E11" i="23"/>
  <c r="G11" i="23" s="1"/>
  <c r="E12" i="23"/>
  <c r="E13" i="23"/>
  <c r="G13" i="23" s="1"/>
  <c r="E14" i="23"/>
  <c r="E15" i="23"/>
  <c r="G15" i="23" s="1"/>
  <c r="E16" i="23"/>
  <c r="E8" i="23"/>
  <c r="G8" i="23" s="1"/>
  <c r="H8" i="21"/>
  <c r="H9" i="21"/>
  <c r="H10" i="21"/>
  <c r="H11" i="21"/>
  <c r="H12" i="21"/>
  <c r="H13" i="21"/>
  <c r="H14" i="21"/>
  <c r="H15" i="21"/>
  <c r="H7" i="21"/>
  <c r="H6" i="21"/>
  <c r="G10" i="21"/>
  <c r="G11" i="21"/>
  <c r="J11" i="21" s="1"/>
  <c r="G12" i="21"/>
  <c r="G13" i="21"/>
  <c r="G14" i="21"/>
  <c r="G15" i="21"/>
  <c r="J15" i="21" s="1"/>
  <c r="G9" i="21"/>
  <c r="G8" i="21"/>
  <c r="G7" i="21"/>
  <c r="G6" i="21"/>
  <c r="D9" i="21"/>
  <c r="I9" i="21" s="1"/>
  <c r="D10" i="21"/>
  <c r="I10" i="21" s="1"/>
  <c r="D11" i="21"/>
  <c r="I11" i="21" s="1"/>
  <c r="D12" i="21"/>
  <c r="I12" i="21" s="1"/>
  <c r="D13" i="21"/>
  <c r="I13" i="21" s="1"/>
  <c r="D14" i="21"/>
  <c r="I14" i="21" s="1"/>
  <c r="J14" i="21" s="1"/>
  <c r="D15" i="21"/>
  <c r="I15" i="21" s="1"/>
  <c r="D8" i="21"/>
  <c r="I8" i="21" s="1"/>
  <c r="D7" i="21"/>
  <c r="I7" i="21" s="1"/>
  <c r="D6" i="21"/>
  <c r="I6" i="21" s="1"/>
  <c r="C9" i="21"/>
  <c r="C10" i="21"/>
  <c r="C11" i="21"/>
  <c r="C12" i="21"/>
  <c r="C13" i="21"/>
  <c r="C14" i="21"/>
  <c r="C15" i="21"/>
  <c r="C8" i="21"/>
  <c r="C7" i="21"/>
  <c r="C6" i="21"/>
  <c r="D10" i="23"/>
  <c r="D11" i="23"/>
  <c r="D12" i="23"/>
  <c r="D13" i="23"/>
  <c r="D14" i="23"/>
  <c r="D15" i="23"/>
  <c r="D16" i="23"/>
  <c r="D8" i="23"/>
  <c r="E9" i="22"/>
  <c r="H9" i="22" s="1"/>
  <c r="E10" i="22"/>
  <c r="H10" i="22" s="1"/>
  <c r="E11" i="22"/>
  <c r="H11" i="22" s="1"/>
  <c r="E12" i="22"/>
  <c r="H12" i="22" s="1"/>
  <c r="E13" i="22"/>
  <c r="H13" i="22" s="1"/>
  <c r="E14" i="22"/>
  <c r="H14" i="22" s="1"/>
  <c r="E15" i="22"/>
  <c r="H15" i="22" s="1"/>
  <c r="E16" i="22"/>
  <c r="H16" i="22" s="1"/>
  <c r="F10" i="22"/>
  <c r="F11" i="22"/>
  <c r="F12" i="22"/>
  <c r="F13" i="22"/>
  <c r="F14" i="22"/>
  <c r="F15" i="22"/>
  <c r="F16" i="22"/>
  <c r="F9" i="22"/>
  <c r="F8" i="22"/>
  <c r="F7" i="22"/>
  <c r="N8" i="19"/>
  <c r="L9" i="19"/>
  <c r="L10" i="19"/>
  <c r="L11" i="19"/>
  <c r="L12" i="19"/>
  <c r="L13" i="19"/>
  <c r="L14" i="19"/>
  <c r="L15" i="19"/>
  <c r="L16" i="19"/>
  <c r="K9" i="19"/>
  <c r="K10" i="19"/>
  <c r="K11" i="19"/>
  <c r="K12" i="19"/>
  <c r="K13" i="19"/>
  <c r="K14" i="19"/>
  <c r="K15" i="19"/>
  <c r="K16" i="19"/>
  <c r="L8" i="19"/>
  <c r="L7" i="19"/>
  <c r="K8" i="19"/>
  <c r="M8" i="19" s="1"/>
  <c r="J16" i="19"/>
  <c r="M16" i="19" s="1"/>
  <c r="J9" i="19"/>
  <c r="N9" i="19" s="1"/>
  <c r="J10" i="19"/>
  <c r="N10" i="19" s="1"/>
  <c r="J11" i="19"/>
  <c r="N11" i="19" s="1"/>
  <c r="J12" i="19"/>
  <c r="M12" i="19" s="1"/>
  <c r="J13" i="19"/>
  <c r="N13" i="19" s="1"/>
  <c r="J14" i="19"/>
  <c r="M14" i="19" s="1"/>
  <c r="J15" i="19"/>
  <c r="N15" i="19" s="1"/>
  <c r="J8" i="19"/>
  <c r="J7" i="19"/>
  <c r="N7" i="19" s="1"/>
  <c r="K7" i="19"/>
  <c r="C4" i="19"/>
  <c r="I12" i="19" s="1"/>
  <c r="H10" i="19"/>
  <c r="H11" i="19"/>
  <c r="H12" i="19"/>
  <c r="H13" i="19"/>
  <c r="H14" i="19"/>
  <c r="H15" i="19"/>
  <c r="H16" i="19"/>
  <c r="H9" i="19"/>
  <c r="H8" i="19"/>
  <c r="H7" i="19"/>
  <c r="G9" i="26"/>
  <c r="G10" i="26"/>
  <c r="G11" i="26"/>
  <c r="G12" i="26"/>
  <c r="G13" i="26"/>
  <c r="G14" i="26"/>
  <c r="G15" i="26"/>
  <c r="G16" i="26"/>
  <c r="G8" i="26"/>
  <c r="G7" i="26"/>
  <c r="F9" i="26"/>
  <c r="F10" i="26"/>
  <c r="F11" i="26"/>
  <c r="F12" i="26"/>
  <c r="F13" i="26"/>
  <c r="F14" i="26"/>
  <c r="F15" i="26"/>
  <c r="F16" i="26"/>
  <c r="F8" i="26"/>
  <c r="F7" i="26"/>
  <c r="H7" i="25"/>
  <c r="J7" i="25" s="1"/>
  <c r="H8" i="25"/>
  <c r="J8" i="25" s="1"/>
  <c r="H9" i="25"/>
  <c r="J9" i="25" s="1"/>
  <c r="H10" i="25"/>
  <c r="J10" i="25" s="1"/>
  <c r="H11" i="25"/>
  <c r="J11" i="25" s="1"/>
  <c r="H12" i="25"/>
  <c r="J12" i="25" s="1"/>
  <c r="H13" i="25"/>
  <c r="J13" i="25" s="1"/>
  <c r="H14" i="25"/>
  <c r="J14" i="25" s="1"/>
  <c r="H15" i="25"/>
  <c r="J15" i="25" s="1"/>
  <c r="H16" i="25"/>
  <c r="J16" i="25" s="1"/>
  <c r="H17" i="25"/>
  <c r="J17" i="25" s="1"/>
  <c r="H18" i="25"/>
  <c r="J18" i="25" s="1"/>
  <c r="H19" i="25"/>
  <c r="J19" i="25" s="1"/>
  <c r="H6" i="25"/>
  <c r="J6" i="25" s="1"/>
  <c r="H5" i="25"/>
  <c r="J5" i="25" s="1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5" i="25"/>
  <c r="F7" i="11"/>
  <c r="F14" i="11"/>
  <c r="H14" i="11" s="1"/>
  <c r="F13" i="11"/>
  <c r="H13" i="11" s="1"/>
  <c r="F12" i="11"/>
  <c r="H12" i="11" s="1"/>
  <c r="F11" i="11"/>
  <c r="H11" i="11" s="1"/>
  <c r="F10" i="11"/>
  <c r="H10" i="11" s="1"/>
  <c r="F9" i="11"/>
  <c r="H9" i="11" s="1"/>
  <c r="F8" i="11"/>
  <c r="H8" i="11" s="1"/>
  <c r="E8" i="22"/>
  <c r="H8" i="22" s="1"/>
  <c r="E7" i="22"/>
  <c r="H7" i="22" s="1"/>
  <c r="D16" i="22"/>
  <c r="D11" i="22"/>
  <c r="D12" i="22"/>
  <c r="D13" i="22"/>
  <c r="D14" i="22"/>
  <c r="D15" i="22"/>
  <c r="D10" i="22"/>
  <c r="I10" i="22" s="1"/>
  <c r="D9" i="22"/>
  <c r="D8" i="22"/>
  <c r="D7" i="22"/>
  <c r="D19" i="4"/>
  <c r="G8" i="2"/>
  <c r="F8" i="1"/>
  <c r="F9" i="1"/>
  <c r="F10" i="1"/>
  <c r="F11" i="1"/>
  <c r="F12" i="1"/>
  <c r="F13" i="1"/>
  <c r="F14" i="1"/>
  <c r="F7" i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9" i="10"/>
  <c r="G9" i="10" s="1"/>
  <c r="F8" i="10"/>
  <c r="G8" i="10" s="1"/>
  <c r="F7" i="10"/>
  <c r="G7" i="10" s="1"/>
  <c r="F6" i="10"/>
  <c r="G6" i="10" s="1"/>
  <c r="D14" i="9"/>
  <c r="D15" i="9"/>
  <c r="D16" i="9"/>
  <c r="D17" i="9"/>
  <c r="D18" i="9"/>
  <c r="D13" i="9"/>
  <c r="D12" i="9"/>
  <c r="D11" i="9"/>
  <c r="D10" i="9"/>
  <c r="D9" i="9"/>
  <c r="K12" i="3"/>
  <c r="K13" i="3"/>
  <c r="K11" i="3"/>
  <c r="K10" i="3"/>
  <c r="K9" i="3"/>
  <c r="G15" i="3"/>
  <c r="G14" i="3"/>
  <c r="G13" i="3"/>
  <c r="G12" i="3"/>
  <c r="G11" i="3"/>
  <c r="G10" i="3"/>
  <c r="G9" i="3"/>
  <c r="G8" i="3"/>
  <c r="F15" i="3"/>
  <c r="F14" i="3"/>
  <c r="F10" i="3"/>
  <c r="F11" i="3"/>
  <c r="F13" i="3"/>
  <c r="F12" i="3"/>
  <c r="F9" i="3"/>
  <c r="F8" i="3"/>
  <c r="H8" i="3" s="1"/>
  <c r="E13" i="3"/>
  <c r="E14" i="3"/>
  <c r="E15" i="3"/>
  <c r="E12" i="3"/>
  <c r="E11" i="3"/>
  <c r="E9" i="3"/>
  <c r="E10" i="3"/>
  <c r="E8" i="3"/>
  <c r="D15" i="3"/>
  <c r="D14" i="3"/>
  <c r="D13" i="3"/>
  <c r="H13" i="3" s="1"/>
  <c r="D12" i="3"/>
  <c r="D11" i="3"/>
  <c r="D10" i="3"/>
  <c r="D9" i="3"/>
  <c r="F10" i="7"/>
  <c r="H10" i="7" s="1"/>
  <c r="F9" i="7"/>
  <c r="D12" i="7"/>
  <c r="F12" i="7" s="1"/>
  <c r="D13" i="7"/>
  <c r="F13" i="7" s="1"/>
  <c r="D10" i="7"/>
  <c r="D11" i="7"/>
  <c r="F11" i="7" s="1"/>
  <c r="D9" i="7"/>
  <c r="D18" i="24"/>
  <c r="E18" i="24"/>
  <c r="F18" i="24"/>
  <c r="D19" i="24"/>
  <c r="E19" i="24"/>
  <c r="F19" i="24"/>
  <c r="D17" i="24"/>
  <c r="E17" i="24"/>
  <c r="F17" i="24"/>
  <c r="C19" i="24"/>
  <c r="C18" i="24"/>
  <c r="C17" i="24"/>
  <c r="C4" i="28"/>
  <c r="I8" i="28" s="1"/>
  <c r="C9" i="18"/>
  <c r="C10" i="18"/>
  <c r="C11" i="18"/>
  <c r="C12" i="18"/>
  <c r="C8" i="18"/>
  <c r="I12" i="10"/>
  <c r="I11" i="10"/>
  <c r="I10" i="10"/>
  <c r="J10" i="10" s="1"/>
  <c r="I9" i="10"/>
  <c r="I8" i="10"/>
  <c r="K8" i="10" s="1"/>
  <c r="I7" i="10"/>
  <c r="J7" i="10" s="1"/>
  <c r="I6" i="10"/>
  <c r="I8" i="22" l="1"/>
  <c r="K9" i="10"/>
  <c r="H15" i="3"/>
  <c r="H14" i="3"/>
  <c r="L13" i="3" s="1"/>
  <c r="H12" i="7"/>
  <c r="H9" i="3"/>
  <c r="L10" i="3" s="1"/>
  <c r="I16" i="22"/>
  <c r="J16" i="22" s="1"/>
  <c r="I10" i="15"/>
  <c r="J10" i="15" s="1"/>
  <c r="H9" i="24"/>
  <c r="I9" i="24"/>
  <c r="I17" i="15"/>
  <c r="J17" i="15" s="1"/>
  <c r="I12" i="20"/>
  <c r="I11" i="15"/>
  <c r="J11" i="15" s="1"/>
  <c r="I10" i="18"/>
  <c r="I11" i="20"/>
  <c r="J12" i="21"/>
  <c r="K11" i="10"/>
  <c r="I14" i="15"/>
  <c r="J14" i="15" s="1"/>
  <c r="H13" i="24"/>
  <c r="I13" i="24"/>
  <c r="I9" i="18"/>
  <c r="I14" i="20"/>
  <c r="H7" i="11"/>
  <c r="F17" i="11"/>
  <c r="F16" i="11"/>
  <c r="F18" i="11"/>
  <c r="N16" i="19"/>
  <c r="O16" i="19" s="1"/>
  <c r="O8" i="19"/>
  <c r="H11" i="3"/>
  <c r="J8" i="22"/>
  <c r="F9" i="20"/>
  <c r="I9" i="20" s="1"/>
  <c r="H10" i="3"/>
  <c r="L11" i="3" s="1"/>
  <c r="F10" i="20"/>
  <c r="I10" i="20" s="1"/>
  <c r="I9" i="15"/>
  <c r="J9" i="15" s="1"/>
  <c r="H12" i="17"/>
  <c r="K6" i="10"/>
  <c r="H13" i="7"/>
  <c r="H12" i="3"/>
  <c r="L12" i="3" s="1"/>
  <c r="I7" i="22"/>
  <c r="J7" i="22" s="1"/>
  <c r="J10" i="22"/>
  <c r="J13" i="21"/>
  <c r="H15" i="24"/>
  <c r="P14" i="29"/>
  <c r="Q14" i="29" s="1"/>
  <c r="G19" i="13"/>
  <c r="H19" i="13"/>
  <c r="I19" i="13"/>
  <c r="H20" i="13"/>
  <c r="I20" i="13"/>
  <c r="P15" i="29"/>
  <c r="Q15" i="29" s="1"/>
  <c r="O14" i="19"/>
  <c r="O12" i="19"/>
  <c r="I17" i="20"/>
  <c r="N14" i="19"/>
  <c r="J10" i="21"/>
  <c r="I16" i="20"/>
  <c r="I15" i="15"/>
  <c r="J15" i="15" s="1"/>
  <c r="M10" i="19"/>
  <c r="O10" i="19" s="1"/>
  <c r="N12" i="19"/>
  <c r="I15" i="20"/>
  <c r="K12" i="10"/>
  <c r="I13" i="15"/>
  <c r="J13" i="15" s="1"/>
  <c r="H8" i="18"/>
  <c r="I8" i="18" s="1"/>
  <c r="F16" i="1"/>
  <c r="I13" i="20"/>
  <c r="F18" i="12"/>
  <c r="H11" i="18"/>
  <c r="I11" i="18" s="1"/>
  <c r="H15" i="13"/>
  <c r="I15" i="13" s="1"/>
  <c r="Q7" i="29"/>
  <c r="I9" i="28"/>
  <c r="I13" i="28"/>
  <c r="I17" i="28"/>
  <c r="I21" i="28"/>
  <c r="I12" i="28"/>
  <c r="I20" i="28"/>
  <c r="I16" i="28"/>
  <c r="I11" i="28"/>
  <c r="I15" i="28"/>
  <c r="I19" i="28"/>
  <c r="I10" i="28"/>
  <c r="I14" i="28"/>
  <c r="I18" i="28"/>
  <c r="I22" i="28"/>
  <c r="H9" i="28"/>
  <c r="H13" i="28"/>
  <c r="H17" i="28"/>
  <c r="H21" i="28"/>
  <c r="H19" i="28"/>
  <c r="H22" i="28"/>
  <c r="H12" i="28"/>
  <c r="H16" i="28"/>
  <c r="H20" i="28"/>
  <c r="H15" i="28"/>
  <c r="H11" i="28"/>
  <c r="H10" i="28"/>
  <c r="H14" i="28"/>
  <c r="H18" i="28"/>
  <c r="G13" i="28"/>
  <c r="G17" i="28"/>
  <c r="G21" i="28"/>
  <c r="G16" i="28"/>
  <c r="G11" i="28"/>
  <c r="G10" i="28"/>
  <c r="G22" i="28"/>
  <c r="G12" i="28"/>
  <c r="G20" i="28"/>
  <c r="G15" i="28"/>
  <c r="G19" i="28"/>
  <c r="G14" i="28"/>
  <c r="G18" i="28"/>
  <c r="G8" i="28"/>
  <c r="G9" i="28"/>
  <c r="I11" i="19"/>
  <c r="I8" i="19"/>
  <c r="I15" i="19"/>
  <c r="I16" i="19"/>
  <c r="I7" i="19"/>
  <c r="I10" i="19"/>
  <c r="I9" i="19"/>
  <c r="I13" i="19"/>
  <c r="I14" i="19"/>
  <c r="G22" i="10"/>
  <c r="G20" i="10"/>
  <c r="G21" i="10"/>
  <c r="H11" i="7"/>
  <c r="H18" i="3"/>
  <c r="I9" i="22"/>
  <c r="J9" i="22" s="1"/>
  <c r="I15" i="22"/>
  <c r="J15" i="22" s="1"/>
  <c r="I13" i="22"/>
  <c r="J13" i="22" s="1"/>
  <c r="I11" i="22"/>
  <c r="J11" i="22" s="1"/>
  <c r="H9" i="7"/>
  <c r="F15" i="1"/>
  <c r="F17" i="1"/>
  <c r="D16" i="4"/>
  <c r="D18" i="4"/>
  <c r="J6" i="10"/>
  <c r="J8" i="10"/>
  <c r="J11" i="10"/>
  <c r="J9" i="10"/>
  <c r="K7" i="10"/>
  <c r="K10" i="10"/>
  <c r="H7" i="26"/>
  <c r="I7" i="26" s="1"/>
  <c r="H16" i="26"/>
  <c r="I16" i="26" s="1"/>
  <c r="H14" i="26"/>
  <c r="I14" i="26" s="1"/>
  <c r="H12" i="26"/>
  <c r="I12" i="26" s="1"/>
  <c r="H10" i="26"/>
  <c r="I10" i="26" s="1"/>
  <c r="M15" i="19"/>
  <c r="O15" i="19" s="1"/>
  <c r="M13" i="19"/>
  <c r="O13" i="19" s="1"/>
  <c r="M11" i="19"/>
  <c r="O11" i="19" s="1"/>
  <c r="M9" i="19"/>
  <c r="O9" i="19" s="1"/>
  <c r="J6" i="21"/>
  <c r="J8" i="21"/>
  <c r="K8" i="21" s="1"/>
  <c r="K6" i="21"/>
  <c r="K15" i="21"/>
  <c r="K13" i="21"/>
  <c r="K11" i="21"/>
  <c r="K7" i="14"/>
  <c r="I7" i="14"/>
  <c r="J7" i="14"/>
  <c r="K9" i="14"/>
  <c r="J9" i="14"/>
  <c r="L9" i="14" s="1"/>
  <c r="I9" i="14"/>
  <c r="J20" i="14"/>
  <c r="K20" i="14"/>
  <c r="L20" i="14" s="1"/>
  <c r="I18" i="14"/>
  <c r="K18" i="14"/>
  <c r="J18" i="14"/>
  <c r="L18" i="14" s="1"/>
  <c r="I16" i="14"/>
  <c r="J16" i="14"/>
  <c r="K16" i="14"/>
  <c r="I14" i="14"/>
  <c r="K14" i="14"/>
  <c r="J14" i="14"/>
  <c r="J12" i="14"/>
  <c r="K12" i="14"/>
  <c r="L12" i="14" s="1"/>
  <c r="K10" i="14"/>
  <c r="J10" i="14"/>
  <c r="L10" i="14" s="1"/>
  <c r="H8" i="28"/>
  <c r="D17" i="4"/>
  <c r="J12" i="10"/>
  <c r="I14" i="22"/>
  <c r="J14" i="22" s="1"/>
  <c r="I12" i="22"/>
  <c r="J12" i="22" s="1"/>
  <c r="H8" i="26"/>
  <c r="I8" i="26" s="1"/>
  <c r="H15" i="26"/>
  <c r="I15" i="26" s="1"/>
  <c r="H13" i="26"/>
  <c r="I13" i="26" s="1"/>
  <c r="H11" i="26"/>
  <c r="I11" i="26" s="1"/>
  <c r="H9" i="26"/>
  <c r="I9" i="26" s="1"/>
  <c r="M7" i="19"/>
  <c r="O7" i="19" s="1"/>
  <c r="J7" i="21"/>
  <c r="K7" i="21" s="1"/>
  <c r="J9" i="21"/>
  <c r="K9" i="21" s="1"/>
  <c r="K14" i="21"/>
  <c r="K12" i="21"/>
  <c r="K10" i="21"/>
  <c r="J8" i="20"/>
  <c r="K8" i="20" s="1"/>
  <c r="J8" i="14"/>
  <c r="K8" i="14"/>
  <c r="L8" i="14" s="1"/>
  <c r="K21" i="14"/>
  <c r="J21" i="14"/>
  <c r="I21" i="14"/>
  <c r="K19" i="14"/>
  <c r="J19" i="14"/>
  <c r="F8" i="23"/>
  <c r="H8" i="23" s="1"/>
  <c r="F15" i="23"/>
  <c r="H15" i="23" s="1"/>
  <c r="F13" i="23"/>
  <c r="H13" i="23" s="1"/>
  <c r="F11" i="23"/>
  <c r="H11" i="23" s="1"/>
  <c r="H9" i="23"/>
  <c r="G16" i="23"/>
  <c r="G14" i="23"/>
  <c r="G12" i="23"/>
  <c r="G10" i="23"/>
  <c r="E11" i="13"/>
  <c r="F11" i="13"/>
  <c r="G11" i="13" s="1"/>
  <c r="F16" i="23"/>
  <c r="H16" i="23" s="1"/>
  <c r="F14" i="23"/>
  <c r="H14" i="23" s="1"/>
  <c r="F12" i="23"/>
  <c r="H12" i="23" s="1"/>
  <c r="F10" i="23"/>
  <c r="K17" i="14"/>
  <c r="J17" i="14"/>
  <c r="L17" i="14" s="1"/>
  <c r="K15" i="14"/>
  <c r="J15" i="14"/>
  <c r="K13" i="14"/>
  <c r="J13" i="14"/>
  <c r="L13" i="14" s="1"/>
  <c r="K11" i="14"/>
  <c r="J11" i="14"/>
  <c r="I15" i="14"/>
  <c r="I12" i="18"/>
  <c r="I18" i="30"/>
  <c r="J18" i="30" s="1"/>
  <c r="I25" i="30"/>
  <c r="J25" i="30" s="1"/>
  <c r="I23" i="30"/>
  <c r="J23" i="30" s="1"/>
  <c r="I21" i="30"/>
  <c r="J21" i="30" s="1"/>
  <c r="I19" i="30"/>
  <c r="J19" i="30" s="1"/>
  <c r="J24" i="30"/>
  <c r="J22" i="30"/>
  <c r="J20" i="30"/>
  <c r="H6" i="24"/>
  <c r="H14" i="24"/>
  <c r="H12" i="24"/>
  <c r="H10" i="24"/>
  <c r="H8" i="24"/>
  <c r="H17" i="3" l="1"/>
  <c r="H19" i="3"/>
  <c r="H16" i="3"/>
  <c r="K10" i="20"/>
  <c r="J10" i="20"/>
  <c r="J9" i="20"/>
  <c r="K9" i="20"/>
  <c r="L19" i="14"/>
  <c r="L11" i="14"/>
  <c r="L14" i="14"/>
  <c r="Q6" i="29"/>
  <c r="L15" i="14"/>
  <c r="L22" i="14" s="1"/>
  <c r="J17" i="20"/>
  <c r="K17" i="20"/>
  <c r="J14" i="20"/>
  <c r="K14" i="20" s="1"/>
  <c r="J12" i="20"/>
  <c r="K12" i="20"/>
  <c r="L16" i="14"/>
  <c r="H10" i="23"/>
  <c r="H19" i="23" s="1"/>
  <c r="J15" i="20"/>
  <c r="K15" i="20"/>
  <c r="H18" i="12"/>
  <c r="J13" i="20"/>
  <c r="K13" i="20"/>
  <c r="J16" i="20"/>
  <c r="K16" i="20"/>
  <c r="L21" i="14"/>
  <c r="J11" i="20"/>
  <c r="K11" i="20"/>
  <c r="H17" i="23"/>
  <c r="H20" i="23"/>
  <c r="H18" i="23"/>
  <c r="J11" i="26"/>
  <c r="K11" i="26" s="1"/>
  <c r="J15" i="26"/>
  <c r="K15" i="26" s="1"/>
  <c r="J10" i="26"/>
  <c r="K10" i="26" s="1"/>
  <c r="J14" i="26"/>
  <c r="K14" i="26" s="1"/>
  <c r="J7" i="26"/>
  <c r="K7" i="26" s="1"/>
  <c r="J9" i="26"/>
  <c r="K9" i="26" s="1"/>
  <c r="J13" i="26"/>
  <c r="K13" i="26" s="1"/>
  <c r="J8" i="26"/>
  <c r="K8" i="26"/>
  <c r="J12" i="26"/>
  <c r="K12" i="26" s="1"/>
  <c r="J16" i="26"/>
  <c r="K16" i="26" s="1"/>
  <c r="I11" i="13"/>
  <c r="O17" i="19"/>
  <c r="H15" i="7"/>
  <c r="H14" i="7"/>
  <c r="I23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<sst xmlns="http://schemas.openxmlformats.org/spreadsheetml/2006/main" count="1569" uniqueCount="1187">
  <si>
    <t>DAFTAR BELANJA NYONYA MELLY</t>
  </si>
  <si>
    <t>Bulan Desember 2002</t>
  </si>
  <si>
    <t>No</t>
  </si>
  <si>
    <t>Susu bayi</t>
  </si>
  <si>
    <t>Belanja Terbesar</t>
  </si>
  <si>
    <t>Belanja Terendah</t>
  </si>
  <si>
    <t>Total Belanja</t>
  </si>
  <si>
    <t>Sabun cuci</t>
  </si>
  <si>
    <t>Sabun mandi</t>
  </si>
  <si>
    <t>Pasta gigi</t>
  </si>
  <si>
    <t>Sirup jeruk</t>
  </si>
  <si>
    <t>Teh celup</t>
  </si>
  <si>
    <t>Telur ayam</t>
  </si>
  <si>
    <t>Minyak kelapa</t>
  </si>
  <si>
    <t>LATIHAN - 1</t>
  </si>
  <si>
    <t>A</t>
  </si>
  <si>
    <t>B</t>
  </si>
  <si>
    <t>C</t>
  </si>
  <si>
    <t>D</t>
  </si>
  <si>
    <t>E</t>
  </si>
  <si>
    <t>Jumlah Belanja</t>
  </si>
  <si>
    <t>Jumlah Barang</t>
  </si>
  <si>
    <t>Harga Barang</t>
  </si>
  <si>
    <t>Nama Barang</t>
  </si>
  <si>
    <t>Data yang dicari :</t>
  </si>
  <si>
    <t xml:space="preserve">DAFTAR HASIL PENJUALAN PT. BINTANG PRATAMA </t>
  </si>
  <si>
    <t>jln . Ranggagading No . 01 Bogor</t>
  </si>
  <si>
    <t>Tahun 1998/1999</t>
  </si>
  <si>
    <t>Bulan</t>
  </si>
  <si>
    <t>CABANG</t>
  </si>
  <si>
    <t>TOTAL</t>
  </si>
  <si>
    <t>BANDUNG</t>
  </si>
  <si>
    <t>BOGOR</t>
  </si>
  <si>
    <t>JAKARTA</t>
  </si>
  <si>
    <t>SUKABUMI</t>
  </si>
  <si>
    <t>JAN</t>
  </si>
  <si>
    <t>JAGUNG</t>
  </si>
  <si>
    <t>FEB</t>
  </si>
  <si>
    <t>KOPI</t>
  </si>
  <si>
    <t>MAR</t>
  </si>
  <si>
    <t>PADI</t>
  </si>
  <si>
    <t>APR</t>
  </si>
  <si>
    <t>KENTANG</t>
  </si>
  <si>
    <t>MAY</t>
  </si>
  <si>
    <t>WORTEL</t>
  </si>
  <si>
    <t>JUN</t>
  </si>
  <si>
    <t>CABE</t>
  </si>
  <si>
    <t>JUL</t>
  </si>
  <si>
    <t>KEMIRI</t>
  </si>
  <si>
    <t>AUG</t>
  </si>
  <si>
    <t>LADA</t>
  </si>
  <si>
    <t>SEP</t>
  </si>
  <si>
    <t>CENGKEH</t>
  </si>
  <si>
    <t>OCT</t>
  </si>
  <si>
    <t>GANDUM</t>
  </si>
  <si>
    <t>NOV</t>
  </si>
  <si>
    <t>SAGU</t>
  </si>
  <si>
    <t>DEC</t>
  </si>
  <si>
    <t>KETUMBAR</t>
  </si>
  <si>
    <t>TOTAL PERKOTA</t>
  </si>
  <si>
    <t>NILAI TERTINGGI</t>
  </si>
  <si>
    <t>NILAI TERENDAH</t>
  </si>
  <si>
    <t>NILAI RATA-RATA</t>
  </si>
  <si>
    <t>LATIHAN - 2</t>
  </si>
  <si>
    <t>LATIHAN - 3</t>
  </si>
  <si>
    <t>DAFTAR NAMA KARYAWAN</t>
  </si>
  <si>
    <t>PT. ASUMSI UNTUNG</t>
  </si>
  <si>
    <t>JL. Untung Selalu No. 11</t>
  </si>
  <si>
    <t>Nama Pegawai</t>
  </si>
  <si>
    <t>Jabatan</t>
  </si>
  <si>
    <t>Gaji Pokok</t>
  </si>
  <si>
    <t>Tunj. Anak</t>
  </si>
  <si>
    <t>Tunj. Istri</t>
  </si>
  <si>
    <t>Tunj. Kes</t>
  </si>
  <si>
    <t>Pajak</t>
  </si>
  <si>
    <t>Total Gaji</t>
  </si>
  <si>
    <t>Moch Ali</t>
  </si>
  <si>
    <t>Georgr Parman</t>
  </si>
  <si>
    <t>Ken Narton</t>
  </si>
  <si>
    <t>Joe Frizor</t>
  </si>
  <si>
    <t>Roki Markino</t>
  </si>
  <si>
    <t>Roy Leonard</t>
  </si>
  <si>
    <t>Tomas Herin</t>
  </si>
  <si>
    <t>Mak Ticon</t>
  </si>
  <si>
    <t>Total seluruh</t>
  </si>
  <si>
    <t>Total Gaji Terbesar</t>
  </si>
  <si>
    <t>Total Gaji Terkecil</t>
  </si>
  <si>
    <t>Total Gaji Rata-rata</t>
  </si>
  <si>
    <t>Ass. Manager</t>
  </si>
  <si>
    <t>Manager</t>
  </si>
  <si>
    <t>Kabag</t>
  </si>
  <si>
    <t>Staff</t>
  </si>
  <si>
    <t>Sekretaris</t>
  </si>
  <si>
    <r>
      <t xml:space="preserve">* </t>
    </r>
    <r>
      <rPr>
        <b/>
        <sz val="11"/>
        <rFont val="Arial"/>
        <family val="2"/>
      </rPr>
      <t>Tunjangan Anak</t>
    </r>
    <r>
      <rPr>
        <sz val="11"/>
        <rFont val="Arial"/>
        <family val="2"/>
      </rPr>
      <t xml:space="preserve"> = 3% dari Gaji Pokok</t>
    </r>
  </si>
  <si>
    <r>
      <t xml:space="preserve">* </t>
    </r>
    <r>
      <rPr>
        <b/>
        <sz val="11"/>
        <rFont val="Arial"/>
        <family val="2"/>
      </rPr>
      <t>Tunjangan Istri</t>
    </r>
    <r>
      <rPr>
        <sz val="11"/>
        <rFont val="Arial"/>
        <family val="2"/>
      </rPr>
      <t xml:space="preserve"> = 2% dari Gaji Pokok</t>
    </r>
  </si>
  <si>
    <r>
      <t xml:space="preserve">* </t>
    </r>
    <r>
      <rPr>
        <b/>
        <sz val="11"/>
        <rFont val="Arial"/>
        <family val="2"/>
      </rPr>
      <t>Tunjangan Kes</t>
    </r>
    <r>
      <rPr>
        <sz val="11"/>
        <rFont val="Arial"/>
        <family val="2"/>
      </rPr>
      <t xml:space="preserve"> = 7,5% dari Gaji Pokok</t>
    </r>
  </si>
  <si>
    <r>
      <t xml:space="preserve">*  </t>
    </r>
    <r>
      <rPr>
        <b/>
        <sz val="11"/>
        <rFont val="Arial"/>
        <family val="2"/>
      </rPr>
      <t>Pajak</t>
    </r>
    <r>
      <rPr>
        <sz val="11"/>
        <rFont val="Arial"/>
        <family val="2"/>
      </rPr>
      <t xml:space="preserve"> = 2,5% dari Gaji Pokok</t>
    </r>
  </si>
  <si>
    <r>
      <t xml:space="preserve">* </t>
    </r>
    <r>
      <rPr>
        <b/>
        <sz val="11"/>
        <rFont val="Arial"/>
        <family val="2"/>
      </rPr>
      <t>Total Gaji</t>
    </r>
    <r>
      <rPr>
        <sz val="11"/>
        <rFont val="Arial"/>
        <family val="2"/>
      </rPr>
      <t xml:space="preserve"> = Gaji Pokok + Tunjangan anak + Tunjangan Kes - Pajak</t>
    </r>
  </si>
  <si>
    <t>LATIHAN - 4</t>
  </si>
  <si>
    <t>Daftar Honor Pengajar Part Time</t>
  </si>
  <si>
    <t>LPK WIDYAMANDIRI</t>
  </si>
  <si>
    <t>Honor mengajar / jam :</t>
  </si>
  <si>
    <t>Nama</t>
  </si>
  <si>
    <t>Rafik</t>
  </si>
  <si>
    <t>Rani</t>
  </si>
  <si>
    <t>Lina</t>
  </si>
  <si>
    <t>Sofia</t>
  </si>
  <si>
    <t>Rezki</t>
  </si>
  <si>
    <t>Laras</t>
  </si>
  <si>
    <t>Sati</t>
  </si>
  <si>
    <t>Irawati</t>
  </si>
  <si>
    <t xml:space="preserve">Total </t>
  </si>
  <si>
    <t>Tertinggi</t>
  </si>
  <si>
    <t>Terendah</t>
  </si>
  <si>
    <t xml:space="preserve">Rata-rata </t>
  </si>
  <si>
    <t>Jml Jam</t>
  </si>
  <si>
    <t>Upah</t>
  </si>
  <si>
    <t>,,,</t>
  </si>
  <si>
    <t>Data yang dicari</t>
  </si>
  <si>
    <t xml:space="preserve"> Gunakan rumus absolut untuk mengunci alamat honor mengajar/jam {F4}</t>
  </si>
  <si>
    <t xml:space="preserve">LATIHAN - 5 </t>
  </si>
  <si>
    <t>Daftar Pengeluaran Uang Mingguan</t>
  </si>
  <si>
    <t>PT. SUMBER MAKMUR</t>
  </si>
  <si>
    <t>Dedi Mulyadi</t>
  </si>
  <si>
    <t>Dedi Muntadi</t>
  </si>
  <si>
    <t>Harjono</t>
  </si>
  <si>
    <t>Hartono</t>
  </si>
  <si>
    <t>Indarto</t>
  </si>
  <si>
    <t>Indarti</t>
  </si>
  <si>
    <t>Aditiawati</t>
  </si>
  <si>
    <t>Aditiawanto</t>
  </si>
  <si>
    <t>Dewi luwi</t>
  </si>
  <si>
    <t>Dewi lawi</t>
  </si>
  <si>
    <t>Entin Sopiah</t>
  </si>
  <si>
    <t>Ending</t>
  </si>
  <si>
    <t>Jml Hari Kerja</t>
  </si>
  <si>
    <t>Uang Makan</t>
  </si>
  <si>
    <t>Uang Lembur</t>
  </si>
  <si>
    <t>Total Uang Mingguan</t>
  </si>
  <si>
    <t>Jml Jam Lembur</t>
  </si>
  <si>
    <t>T O T A L</t>
  </si>
  <si>
    <t>Upah Lembur/Jam</t>
  </si>
  <si>
    <t>Uang Makan/Jam</t>
  </si>
  <si>
    <t>LATIHAN - 6</t>
  </si>
  <si>
    <t>TABEL HARGA BARANG ELEKTRONIK</t>
  </si>
  <si>
    <t>TOKO "DIJAMIN MURAH"</t>
  </si>
  <si>
    <t>Jl. Mangga Tiga No. 1, Jakarta Pusat</t>
  </si>
  <si>
    <t>Harga 1 US $</t>
  </si>
  <si>
    <t>Jenis Barang</t>
  </si>
  <si>
    <t>Harga Awal</t>
  </si>
  <si>
    <t>US $</t>
  </si>
  <si>
    <t>Rupiah</t>
  </si>
  <si>
    <t>Harga Awal + Laba 20 %</t>
  </si>
  <si>
    <t>Biaya Operasional</t>
  </si>
  <si>
    <t>Pajak 10 %</t>
  </si>
  <si>
    <t>Harga Jual</t>
  </si>
  <si>
    <t>Komputer</t>
  </si>
  <si>
    <t>Ponsel</t>
  </si>
  <si>
    <t>Televisi</t>
  </si>
  <si>
    <t>Radio Tape</t>
  </si>
  <si>
    <t>VCD</t>
  </si>
  <si>
    <t>Mesin Cuci</t>
  </si>
  <si>
    <t>Kulkas</t>
  </si>
  <si>
    <t>AC</t>
  </si>
  <si>
    <t>Setrika</t>
  </si>
  <si>
    <t>Kipas Angin</t>
  </si>
  <si>
    <t>* Harga Awal dalam  rupiah : Harga awal 1 US $ * Harga awal barang dalam US $</t>
  </si>
  <si>
    <t>* Harga + Laba 20 % : Harga awal (rupiah) + 20% dari harga awal (rupiah)</t>
  </si>
  <si>
    <t>* Biaya Operasional : 5 % x Harga setelah laba 20 %</t>
  </si>
  <si>
    <t>* Pajak 10 % : 10% x (harga setelah laba 20 % + Biaya Operasional)</t>
  </si>
  <si>
    <t>* Harga Jual : Harga setelah laba + Biaya operasional + Pajak 10 %</t>
  </si>
  <si>
    <r>
      <t xml:space="preserve">* </t>
    </r>
    <r>
      <rPr>
        <b/>
        <sz val="12"/>
        <rFont val="Arial"/>
        <family val="2"/>
      </rPr>
      <t>Total Belanja</t>
    </r>
    <r>
      <rPr>
        <sz val="12"/>
        <rFont val="Arial"/>
        <family val="2"/>
      </rPr>
      <t xml:space="preserve"> : Penjumlahan dari seluruh Jumlah Belanja. Gunakan fungsi SUM()</t>
    </r>
  </si>
  <si>
    <r>
      <t xml:space="preserve">* </t>
    </r>
    <r>
      <rPr>
        <b/>
        <sz val="12"/>
        <rFont val="Arial"/>
        <family val="2"/>
      </rPr>
      <t>Belanja Terbesar</t>
    </r>
    <r>
      <rPr>
        <sz val="12"/>
        <rFont val="Arial"/>
        <family val="2"/>
      </rPr>
      <t xml:space="preserve"> : Nilai terkecil dari Jumlah Belanja. Gunakan fungsi MAX()</t>
    </r>
  </si>
  <si>
    <r>
      <t xml:space="preserve">* </t>
    </r>
    <r>
      <rPr>
        <b/>
        <sz val="12"/>
        <rFont val="Arial"/>
        <family val="2"/>
      </rPr>
      <t>Belanja Terendah</t>
    </r>
    <r>
      <rPr>
        <sz val="12"/>
        <rFont val="Arial"/>
        <family val="2"/>
      </rPr>
      <t xml:space="preserve"> : Nilai terkecil dari Jumlah Belanja. Gunakan fungsi MIN()</t>
    </r>
  </si>
  <si>
    <r>
      <t xml:space="preserve">* TOTAL : </t>
    </r>
    <r>
      <rPr>
        <sz val="10"/>
        <rFont val="Arial"/>
        <family val="2"/>
      </rPr>
      <t>Jumlah seluruh cabang berdasarkan Nama Barang</t>
    </r>
  </si>
  <si>
    <r>
      <t xml:space="preserve">* TOTAL Per KOTA : </t>
    </r>
    <r>
      <rPr>
        <sz val="10"/>
        <rFont val="Arial"/>
        <family val="2"/>
      </rPr>
      <t>Jumlah Nama Barang setiap kotanya. Gunakan fungsi SUM()</t>
    </r>
  </si>
  <si>
    <r>
      <t xml:space="preserve">* NILAI TERTINGGI : </t>
    </r>
    <r>
      <rPr>
        <sz val="10"/>
        <rFont val="Arial"/>
        <family val="2"/>
      </rPr>
      <t>Nilai tertinggi tiap kota. Gunakan Fungsi MAX()</t>
    </r>
  </si>
  <si>
    <r>
      <t xml:space="preserve">* Nilai TERENDAH : </t>
    </r>
    <r>
      <rPr>
        <sz val="10"/>
        <rFont val="Arial"/>
        <family val="2"/>
      </rPr>
      <t>Nilai terkecil tiap kotanya. Gunakan fungsi MIN()</t>
    </r>
  </si>
  <si>
    <r>
      <t xml:space="preserve">* NILAI RATA-RATA : </t>
    </r>
    <r>
      <rPr>
        <sz val="10"/>
        <rFont val="Arial"/>
        <family val="2"/>
      </rPr>
      <t>Nilai rata-rata tiap kotanya. Gunakan fungsi AVERAGE()</t>
    </r>
  </si>
  <si>
    <r>
      <t xml:space="preserve">* </t>
    </r>
    <r>
      <rPr>
        <b/>
        <sz val="11"/>
        <rFont val="Arial"/>
        <family val="2"/>
      </rPr>
      <t>Total Seluruh</t>
    </r>
    <r>
      <rPr>
        <sz val="11"/>
        <rFont val="Arial"/>
        <family val="2"/>
      </rPr>
      <t xml:space="preserve"> = Penjumlahan semua Total Gaji {fungsi SUM()}</t>
    </r>
  </si>
  <si>
    <r>
      <t xml:space="preserve">* </t>
    </r>
    <r>
      <rPr>
        <b/>
        <sz val="11"/>
        <rFont val="Arial"/>
        <family val="2"/>
      </rPr>
      <t>Total Gaji Terbesar</t>
    </r>
    <r>
      <rPr>
        <sz val="11"/>
        <rFont val="Arial"/>
        <family val="2"/>
      </rPr>
      <t xml:space="preserve"> {fungsi MAX()}</t>
    </r>
  </si>
  <si>
    <r>
      <t xml:space="preserve">* </t>
    </r>
    <r>
      <rPr>
        <b/>
        <sz val="11"/>
        <rFont val="Arial"/>
        <family val="2"/>
      </rPr>
      <t xml:space="preserve">Total Gaji Terkecil </t>
    </r>
    <r>
      <rPr>
        <sz val="11"/>
        <rFont val="Arial"/>
        <family val="2"/>
      </rPr>
      <t>{fungsi MIN()}</t>
    </r>
  </si>
  <si>
    <r>
      <t xml:space="preserve">* </t>
    </r>
    <r>
      <rPr>
        <b/>
        <sz val="11"/>
        <rFont val="Arial"/>
        <family val="2"/>
      </rPr>
      <t>Total Gaji Rata-rata</t>
    </r>
    <r>
      <rPr>
        <sz val="11"/>
        <rFont val="Arial"/>
        <family val="2"/>
      </rPr>
      <t xml:space="preserve"> {fungsi AVERAGE()}</t>
    </r>
  </si>
  <si>
    <r>
      <t xml:space="preserve">* </t>
    </r>
    <r>
      <rPr>
        <b/>
        <sz val="11"/>
        <rFont val="Arial"/>
        <family val="2"/>
      </rPr>
      <t>Jumlah Data</t>
    </r>
    <r>
      <rPr>
        <sz val="11"/>
        <rFont val="Arial"/>
        <family val="2"/>
      </rPr>
      <t xml:space="preserve"> {fungsi COUNT()}</t>
    </r>
  </si>
  <si>
    <r>
      <t xml:space="preserve">* </t>
    </r>
    <r>
      <rPr>
        <b/>
        <sz val="12"/>
        <rFont val="Arial"/>
        <family val="2"/>
      </rPr>
      <t>Honor</t>
    </r>
    <r>
      <rPr>
        <sz val="12"/>
        <rFont val="Arial"/>
        <family val="2"/>
      </rPr>
      <t xml:space="preserve"> = Jml Jam x honor mengajar/jam. </t>
    </r>
  </si>
  <si>
    <r>
      <t xml:space="preserve">* </t>
    </r>
    <r>
      <rPr>
        <b/>
        <sz val="12"/>
        <rFont val="Arial"/>
        <family val="2"/>
      </rPr>
      <t>Total</t>
    </r>
    <r>
      <rPr>
        <sz val="12"/>
        <rFont val="Arial"/>
        <family val="2"/>
      </rPr>
      <t xml:space="preserve"> = penjumlahan semua honor. {fungsi SUM()}</t>
    </r>
  </si>
  <si>
    <r>
      <t xml:space="preserve">* </t>
    </r>
    <r>
      <rPr>
        <b/>
        <sz val="12"/>
        <rFont val="Arial"/>
        <family val="2"/>
      </rPr>
      <t xml:space="preserve">Tertinggi </t>
    </r>
    <r>
      <rPr>
        <sz val="12"/>
        <rFont val="Arial"/>
        <family val="2"/>
      </rPr>
      <t>= Nilai tertinggi semua honor. {fungsi MAX()}</t>
    </r>
  </si>
  <si>
    <r>
      <t xml:space="preserve">* </t>
    </r>
    <r>
      <rPr>
        <b/>
        <sz val="12"/>
        <rFont val="Arial"/>
        <family val="2"/>
      </rPr>
      <t>Terendah</t>
    </r>
    <r>
      <rPr>
        <sz val="12"/>
        <rFont val="Arial"/>
        <family val="2"/>
      </rPr>
      <t xml:space="preserve"> = Nilai terendah dari semua honor. {fungsi MIN()}</t>
    </r>
  </si>
  <si>
    <r>
      <t xml:space="preserve">* </t>
    </r>
    <r>
      <rPr>
        <b/>
        <sz val="12"/>
        <rFont val="Arial"/>
        <family val="2"/>
      </rPr>
      <t>Rata-rata</t>
    </r>
    <r>
      <rPr>
        <sz val="12"/>
        <rFont val="Arial"/>
        <family val="2"/>
      </rPr>
      <t xml:space="preserve"> = Rata-rata dari semua honor. {fungsi AVERAGE()}</t>
    </r>
  </si>
  <si>
    <r>
      <t xml:space="preserve">* </t>
    </r>
    <r>
      <rPr>
        <b/>
        <sz val="10"/>
        <rFont val="Arial"/>
        <family val="2"/>
      </rPr>
      <t>Uang Makan</t>
    </r>
    <r>
      <rPr>
        <sz val="10"/>
        <rFont val="Arial"/>
        <charset val="1"/>
      </rPr>
      <t xml:space="preserve"> = Jml Hari Kerja x Uang makan/hari</t>
    </r>
  </si>
  <si>
    <r>
      <t xml:space="preserve">* </t>
    </r>
    <r>
      <rPr>
        <b/>
        <sz val="10"/>
        <rFont val="Arial"/>
        <family val="2"/>
      </rPr>
      <t>Uang Lembur</t>
    </r>
    <r>
      <rPr>
        <sz val="10"/>
        <rFont val="Arial"/>
        <charset val="1"/>
      </rPr>
      <t xml:space="preserve"> = Jml Jam Lembur x Upah Lembur/Jam</t>
    </r>
  </si>
  <si>
    <r>
      <t xml:space="preserve">* </t>
    </r>
    <r>
      <rPr>
        <b/>
        <sz val="10"/>
        <rFont val="Arial"/>
        <family val="2"/>
      </rPr>
      <t>Total Uang Mingguan</t>
    </r>
    <r>
      <rPr>
        <sz val="10"/>
        <rFont val="Arial"/>
        <charset val="1"/>
      </rPr>
      <t xml:space="preserve"> = Uang Makan + Uang Lembur</t>
    </r>
  </si>
  <si>
    <t>LATIHAN - 7</t>
  </si>
  <si>
    <t>Daftar Gaji Karyawan</t>
  </si>
  <si>
    <t>Bulan Maret 2004</t>
  </si>
  <si>
    <t>Kode</t>
  </si>
  <si>
    <t>Masuk</t>
  </si>
  <si>
    <t>Gaji</t>
  </si>
  <si>
    <t>Pegawai</t>
  </si>
  <si>
    <t>Kerja</t>
  </si>
  <si>
    <t>Pokok</t>
  </si>
  <si>
    <t>Bonus</t>
  </si>
  <si>
    <t>Bersih</t>
  </si>
  <si>
    <t>Subulana</t>
  </si>
  <si>
    <t>Aldi Said</t>
  </si>
  <si>
    <t>KH</t>
  </si>
  <si>
    <t>Rojali</t>
  </si>
  <si>
    <t>KT</t>
  </si>
  <si>
    <t>Kustianti</t>
  </si>
  <si>
    <t>Ananda</t>
  </si>
  <si>
    <t>Jumlah</t>
  </si>
  <si>
    <t>Rata-rata</t>
  </si>
  <si>
    <t>PT. Nusantara Jaya</t>
  </si>
  <si>
    <t xml:space="preserve">       Jika Kode pegawai ="KH", maka Jabatan Karyawan Harian</t>
  </si>
  <si>
    <t xml:space="preserve">            Bila Jabatan = "Karyawan Harian", maka Gaji pokok 200000</t>
  </si>
  <si>
    <t xml:space="preserve">      Bila masuk kerja kurang dari 25 tidak mendapat bonus</t>
  </si>
  <si>
    <r>
      <t xml:space="preserve">Data yang dicari </t>
    </r>
    <r>
      <rPr>
        <sz val="11"/>
        <rFont val="Arial"/>
        <family val="2"/>
      </rPr>
      <t>:</t>
    </r>
  </si>
  <si>
    <r>
      <t>*</t>
    </r>
    <r>
      <rPr>
        <b/>
        <sz val="11"/>
        <rFont val="Arial"/>
        <family val="2"/>
      </rPr>
      <t xml:space="preserve"> Jabatan</t>
    </r>
    <r>
      <rPr>
        <sz val="11"/>
        <rFont val="Arial"/>
        <family val="2"/>
      </rPr>
      <t xml:space="preserve"> : Jika Kode pegawai = "KT", maka Jabatan Karyawan Tetap</t>
    </r>
  </si>
  <si>
    <r>
      <t xml:space="preserve">* </t>
    </r>
    <r>
      <rPr>
        <b/>
        <sz val="11"/>
        <rFont val="Arial"/>
        <family val="2"/>
      </rPr>
      <t>Gaji Pokok</t>
    </r>
    <r>
      <rPr>
        <sz val="11"/>
        <rFont val="Arial"/>
        <family val="2"/>
      </rPr>
      <t xml:space="preserve"> : Bila Jabatan = "kayawan Tetap", maka Gaji pokok 300000</t>
    </r>
  </si>
  <si>
    <r>
      <t xml:space="preserve">* </t>
    </r>
    <r>
      <rPr>
        <b/>
        <sz val="11"/>
        <rFont val="Arial"/>
        <family val="2"/>
      </rPr>
      <t>Gaji Bersih</t>
    </r>
    <r>
      <rPr>
        <sz val="11"/>
        <rFont val="Arial"/>
        <family val="2"/>
      </rPr>
      <t xml:space="preserve"> : Gaji pokok ditambah Bonus</t>
    </r>
  </si>
  <si>
    <r>
      <t xml:space="preserve">* Kolom </t>
    </r>
    <r>
      <rPr>
        <b/>
        <sz val="11"/>
        <rFont val="Arial"/>
        <family val="2"/>
      </rPr>
      <t>Jumlah</t>
    </r>
    <r>
      <rPr>
        <sz val="11"/>
        <rFont val="Arial"/>
        <family val="2"/>
      </rPr>
      <t xml:space="preserve"> dan </t>
    </r>
    <r>
      <rPr>
        <b/>
        <sz val="11"/>
        <rFont val="Arial"/>
        <family val="2"/>
      </rPr>
      <t>Rata-rata</t>
    </r>
    <r>
      <rPr>
        <sz val="11"/>
        <rFont val="Arial"/>
        <family val="2"/>
      </rPr>
      <t xml:space="preserve"> gunakan fungsi yang sesuai</t>
    </r>
  </si>
  <si>
    <r>
      <t xml:space="preserve">* </t>
    </r>
    <r>
      <rPr>
        <b/>
        <sz val="11"/>
        <rFont val="Arial"/>
        <family val="2"/>
      </rPr>
      <t>Bonus</t>
    </r>
    <r>
      <rPr>
        <sz val="11"/>
        <rFont val="Arial"/>
        <family val="2"/>
      </rPr>
      <t xml:space="preserve"> :  Bila masuk kerja lebih besar / sama dengan 25 dapat bonus 15 % dari gaji pokok</t>
    </r>
  </si>
  <si>
    <t>Daftar Nilai Komputer</t>
  </si>
  <si>
    <t>SMK PGRI 1 CIBINONG</t>
  </si>
  <si>
    <t>Tahun Pelajaran 2000/2001</t>
  </si>
  <si>
    <t>Nama Siswa</t>
  </si>
  <si>
    <t>Windows</t>
  </si>
  <si>
    <t>Keterangan</t>
  </si>
  <si>
    <t>Nilai</t>
  </si>
  <si>
    <t>Arman</t>
  </si>
  <si>
    <t>Cahyati</t>
  </si>
  <si>
    <t>Durahman</t>
  </si>
  <si>
    <t>Ernawati</t>
  </si>
  <si>
    <t>Pardilah</t>
  </si>
  <si>
    <t>Gunardi</t>
  </si>
  <si>
    <t>Haerunisa</t>
  </si>
  <si>
    <t>Ine Setiawati</t>
  </si>
  <si>
    <t>Jalaludin</t>
  </si>
  <si>
    <t>LATIHAN - 8</t>
  </si>
  <si>
    <t>Ms. Word</t>
  </si>
  <si>
    <t>Ms. Excel</t>
  </si>
  <si>
    <t>Budiarti</t>
  </si>
  <si>
    <t>Jika Rata-rata nilai kurang dari 6 maka keterangan diisi TIDAK LULUS</t>
  </si>
  <si>
    <r>
      <t xml:space="preserve">* </t>
    </r>
    <r>
      <rPr>
        <b/>
        <sz val="12"/>
        <rFont val="Arial"/>
        <family val="2"/>
      </rPr>
      <t>Rata-rata Nilai</t>
    </r>
    <r>
      <rPr>
        <sz val="12"/>
        <rFont val="Arial"/>
        <family val="2"/>
      </rPr>
      <t xml:space="preserve"> dengan fungsi AVERAGE</t>
    </r>
  </si>
  <si>
    <r>
      <t xml:space="preserve">* </t>
    </r>
    <r>
      <rPr>
        <b/>
        <sz val="12"/>
        <rFont val="Arial"/>
        <family val="2"/>
      </rPr>
      <t xml:space="preserve">Keterangan </t>
    </r>
    <r>
      <rPr>
        <sz val="12"/>
        <rFont val="Arial"/>
        <family val="2"/>
      </rPr>
      <t>: Jika Rata-rata nilai lebih besar / sama dengan 6 maka keterangan LULUS</t>
    </r>
  </si>
  <si>
    <t>LATIHAN - 9</t>
  </si>
  <si>
    <t>Laporan Harian Penjualan Kertas</t>
  </si>
  <si>
    <t>Toko Buku " SERBA LENGKAP"</t>
  </si>
  <si>
    <t>1-OCT-02</t>
  </si>
  <si>
    <t>Kalkir</t>
  </si>
  <si>
    <t>HVS</t>
  </si>
  <si>
    <t>Kode Kertas</t>
  </si>
  <si>
    <t>Jenis Kertas</t>
  </si>
  <si>
    <t>Jumlah Lembar</t>
  </si>
  <si>
    <t>Bayar</t>
  </si>
  <si>
    <t>K</t>
  </si>
  <si>
    <t>H</t>
  </si>
  <si>
    <r>
      <t xml:space="preserve">* </t>
    </r>
    <r>
      <rPr>
        <b/>
        <sz val="12"/>
        <rFont val="Arial"/>
        <family val="2"/>
      </rPr>
      <t>Jenis Kertas</t>
    </r>
    <r>
      <rPr>
        <sz val="12"/>
        <rFont val="Arial"/>
        <family val="2"/>
      </rPr>
      <t xml:space="preserve"> : Jika Kode kertas = "K", maka Jenis kertas = Kalkir</t>
    </r>
  </si>
  <si>
    <r>
      <t xml:space="preserve">* </t>
    </r>
    <r>
      <rPr>
        <b/>
        <sz val="12"/>
        <rFont val="Arial"/>
        <family val="2"/>
      </rPr>
      <t>Bayar</t>
    </r>
    <r>
      <rPr>
        <sz val="12"/>
        <rFont val="Arial"/>
        <family val="2"/>
      </rPr>
      <t xml:space="preserve"> = Harga kertas per lembar * Jumlah Barang</t>
    </r>
  </si>
  <si>
    <t xml:space="preserve"> Jika Kode kertas = "H", maka Jenis kertas = HVS</t>
  </si>
  <si>
    <t xml:space="preserve">   Gunakan rumus ABSOLUT untuk mengunci alamat harga kertas per lembar</t>
  </si>
  <si>
    <t>LATIHAN - 10</t>
  </si>
  <si>
    <t>Data Pinjaman Buku Pustaka</t>
  </si>
  <si>
    <t>Nomor Pustaka</t>
  </si>
  <si>
    <t>Jenis Buku</t>
  </si>
  <si>
    <t>Tanggal Pinjam</t>
  </si>
  <si>
    <t>Jumlah Buku</t>
  </si>
  <si>
    <t>Tarif Pustaka</t>
  </si>
  <si>
    <t>Total Bayar</t>
  </si>
  <si>
    <t>F.Rulliana</t>
  </si>
  <si>
    <t>Fiksi Ilmiah</t>
  </si>
  <si>
    <t>Juansyah</t>
  </si>
  <si>
    <t>Analisis</t>
  </si>
  <si>
    <t>Indriawan</t>
  </si>
  <si>
    <t>Kamus</t>
  </si>
  <si>
    <t>Agustini</t>
  </si>
  <si>
    <t>Widiyanti</t>
  </si>
  <si>
    <t>Cerita</t>
  </si>
  <si>
    <t>Temasmi</t>
  </si>
  <si>
    <t>Religi</t>
  </si>
  <si>
    <t>Kristi Octora</t>
  </si>
  <si>
    <t>Teknik</t>
  </si>
  <si>
    <t>Irfan Suripto</t>
  </si>
  <si>
    <t>D. Budiarti</t>
  </si>
  <si>
    <t>Rachman</t>
  </si>
  <si>
    <t>Prihatni</t>
  </si>
  <si>
    <t>Kuntarini</t>
  </si>
  <si>
    <t>Eli Puspita</t>
  </si>
  <si>
    <t>2-aug-02</t>
  </si>
  <si>
    <t>Tri Kadarsih</t>
  </si>
  <si>
    <t>4-aug-02</t>
  </si>
  <si>
    <t>Jumlah Seluruh</t>
  </si>
  <si>
    <t>Maksimum</t>
  </si>
  <si>
    <t>Ensiklopedi</t>
  </si>
  <si>
    <t>* Tarif Pustaka :</t>
  </si>
  <si>
    <t>Jika Jenis buku = "Kamus", Tarif sewa buku perhari sebesar = 1750</t>
  </si>
  <si>
    <t>Jika Jenis buku = "Teknik", Tarif sewa buku perhari sebesar = 2250</t>
  </si>
  <si>
    <t>Jika Jenis buku = "Analisis", Tarif sewa buku perhari sebesar = 3250</t>
  </si>
  <si>
    <t>Selain Jenis buku tersebut, tarif sewa buku perhari sebesar = 1500</t>
  </si>
  <si>
    <t>* Total Bayar : Tarif sewa buku * Jumlah buku</t>
  </si>
  <si>
    <t>LATIHAN - 11</t>
  </si>
  <si>
    <t>Nim</t>
  </si>
  <si>
    <t>Window</t>
  </si>
  <si>
    <t>Nilai Huruf</t>
  </si>
  <si>
    <t>Jumlah Siswa</t>
  </si>
  <si>
    <t>Nilai rata-rata Tinggi</t>
  </si>
  <si>
    <t>Nilai rata-rata terendah</t>
  </si>
  <si>
    <t>Dani Sunday</t>
  </si>
  <si>
    <t>Deni Sudeny</t>
  </si>
  <si>
    <t>Doni Sudony</t>
  </si>
  <si>
    <t>Dini Mardini</t>
  </si>
  <si>
    <t>Dina Mardina</t>
  </si>
  <si>
    <t>Dino Aldino</t>
  </si>
  <si>
    <t>Dani Danya</t>
  </si>
  <si>
    <t>Dono Kardono</t>
  </si>
  <si>
    <t>Periode Agustus 2002</t>
  </si>
  <si>
    <t>Rata semua siswa</t>
  </si>
  <si>
    <t>Hasil Ujian Komputer "LPK AMAT CANGGIH"</t>
  </si>
  <si>
    <t>* Rata-rata : nilai rata-rata dari Ms Windows, Ms. Word, Ms. Excel {fungsi AVERAGE()}</t>
  </si>
  <si>
    <t>* Nilai Huruf :</t>
  </si>
  <si>
    <t>Jika Nilai rata-rata &gt;= 90 maka nilai Huruf = A</t>
  </si>
  <si>
    <t>* Keterangan :</t>
  </si>
  <si>
    <t>Bila nilai huruf = A, maka Keterangan = Istimewa</t>
  </si>
  <si>
    <t>Bila nilai huruf = B, maka Keterangan = Baik</t>
  </si>
  <si>
    <t>Bila nilai huruf = C, maka Keterangan = Cukup Baik</t>
  </si>
  <si>
    <t>Bila nilai huruf = D, maka Keterangan = Kurang Baik</t>
  </si>
  <si>
    <t>Bila nilai huruf = E, maka Keterangan = Gagal</t>
  </si>
  <si>
    <t>LATIHAN - 12</t>
  </si>
  <si>
    <t>Jl.Ir.H. Juanda No. 89 Bandung</t>
  </si>
  <si>
    <t>KODE</t>
  </si>
  <si>
    <t>JUMLAH</t>
  </si>
  <si>
    <t>NAMA</t>
  </si>
  <si>
    <t>HARGA</t>
  </si>
  <si>
    <t>NILAI</t>
  </si>
  <si>
    <t>TANGGAL</t>
  </si>
  <si>
    <t>BARANG</t>
  </si>
  <si>
    <t>UNIT</t>
  </si>
  <si>
    <t>SATUAN</t>
  </si>
  <si>
    <t>DISKON</t>
  </si>
  <si>
    <t>BERSIH</t>
  </si>
  <si>
    <t>P103</t>
  </si>
  <si>
    <t>P104</t>
  </si>
  <si>
    <t>P105</t>
  </si>
  <si>
    <t>P101</t>
  </si>
  <si>
    <t>P102</t>
  </si>
  <si>
    <t>TABEL KODE BARANG</t>
  </si>
  <si>
    <t xml:space="preserve">HARGA </t>
  </si>
  <si>
    <t>MOTOROLA</t>
  </si>
  <si>
    <t>NEC</t>
  </si>
  <si>
    <t>NOKIA</t>
  </si>
  <si>
    <t>ERICSON</t>
  </si>
  <si>
    <t>PHILIPS</t>
  </si>
  <si>
    <t>12-May-00</t>
  </si>
  <si>
    <t>17-May-00</t>
  </si>
  <si>
    <t>22-May-00</t>
  </si>
  <si>
    <t>25-May-00</t>
  </si>
  <si>
    <t>Daftar Penjualan Hand Phone</t>
  </si>
  <si>
    <t>PT. Harapan Jaya</t>
  </si>
  <si>
    <t>* Nama barang dan Harga Satuan ditentukan berdasarkan Kode Barang pada Tabel Kode Barang yang ada</t>
  </si>
  <si>
    <t>* Harga Total = Jumlah Unit * Harga Satuan</t>
  </si>
  <si>
    <t>* Diskon diperoleh dari Prosentase Diskon yang ada pd Tabel Kode Barang dikalikan dengan Harga Total</t>
  </si>
  <si>
    <t>* Nilai Bersih = Harga Total - Diskon</t>
  </si>
  <si>
    <t xml:space="preserve">JUMLAH </t>
  </si>
  <si>
    <t>LATIHAN - 13</t>
  </si>
  <si>
    <t>Tabel 1</t>
  </si>
  <si>
    <t>No Bagian</t>
  </si>
  <si>
    <t>Departmen Bagian</t>
  </si>
  <si>
    <t>Pokok Pendapatan</t>
  </si>
  <si>
    <t>A2</t>
  </si>
  <si>
    <t>Operasional</t>
  </si>
  <si>
    <t>B3</t>
  </si>
  <si>
    <t>Personalia</t>
  </si>
  <si>
    <t>C4</t>
  </si>
  <si>
    <t>Equipment</t>
  </si>
  <si>
    <t>RINCIAN PEMBERIAN BONUS TAHUNAN</t>
  </si>
  <si>
    <t>D5</t>
  </si>
  <si>
    <t>Markting</t>
  </si>
  <si>
    <t>Nrp</t>
  </si>
  <si>
    <t>Nama Pekerja</t>
  </si>
  <si>
    <t>No. Gol</t>
  </si>
  <si>
    <t>Department Bagian</t>
  </si>
  <si>
    <t>PPh</t>
  </si>
  <si>
    <t>Total Pendapatan</t>
  </si>
  <si>
    <t>B304</t>
  </si>
  <si>
    <t>Tjandra Abijasa</t>
  </si>
  <si>
    <t>C403</t>
  </si>
  <si>
    <t>Budi Brasali</t>
  </si>
  <si>
    <t>D504</t>
  </si>
  <si>
    <t>Benjamin Surjadjaja</t>
  </si>
  <si>
    <t>A201</t>
  </si>
  <si>
    <t>Surjanto Sosrodjojo</t>
  </si>
  <si>
    <t>Thomas M Gani</t>
  </si>
  <si>
    <t>Ismail Sofyan</t>
  </si>
  <si>
    <t>B302</t>
  </si>
  <si>
    <t>Umar Hartainata</t>
  </si>
  <si>
    <t>Utomo Sosodirdjo</t>
  </si>
  <si>
    <t>Santoso Sutantyo</t>
  </si>
  <si>
    <t>Setijono Sjuandi</t>
  </si>
  <si>
    <t>Eka Tjandra Negara</t>
  </si>
  <si>
    <t>Adam Kurniawan</t>
  </si>
  <si>
    <t>Nilai Rata-rata</t>
  </si>
  <si>
    <t>Nilai Tertinggi</t>
  </si>
  <si>
    <t>Proses Pengisian</t>
  </si>
  <si>
    <t>4.  Bonus hanya diberikan kepada pekerja berdasarkan kondisi :</t>
  </si>
  <si>
    <t xml:space="preserve">     -  Selain No Gol diatas tidak diberikan bonus</t>
  </si>
  <si>
    <t xml:space="preserve">3.  Kolom Departmen Bagian dan Pokok Pendapatan diisi melalui data pada tabel berdasarkan No. Bagian  </t>
  </si>
  <si>
    <r>
      <t xml:space="preserve">1.  Kolom No. Gol diisi dengan mengambil 2 digit </t>
    </r>
    <r>
      <rPr>
        <b/>
        <sz val="10"/>
        <rFont val="Arial"/>
        <family val="2"/>
      </rPr>
      <t>terakhir</t>
    </r>
    <r>
      <rPr>
        <sz val="10"/>
        <rFont val="Arial"/>
        <family val="2"/>
      </rPr>
      <t xml:space="preserve"> dari urutan digit NrP</t>
    </r>
  </si>
  <si>
    <r>
      <t xml:space="preserve">2.  Kolom No. Bagian diisi dengan mengambil 2 digit </t>
    </r>
    <r>
      <rPr>
        <b/>
        <sz val="10"/>
        <rFont val="Arial"/>
        <family val="2"/>
      </rPr>
      <t>pertama</t>
    </r>
    <r>
      <rPr>
        <sz val="10"/>
        <rFont val="Arial"/>
        <family val="2"/>
      </rPr>
      <t xml:space="preserve"> dari urutan digit NrP</t>
    </r>
  </si>
  <si>
    <r>
      <t xml:space="preserve">     -  Jika No. Gol = "03" </t>
    </r>
    <r>
      <rPr>
        <b/>
        <sz val="10"/>
        <rFont val="Arial"/>
        <family val="2"/>
      </rPr>
      <t>atau</t>
    </r>
    <r>
      <rPr>
        <sz val="10"/>
        <rFont val="Arial"/>
        <family val="2"/>
      </rPr>
      <t xml:space="preserve"> "04", diberikan bonus sebesar 17 % dari Pokok Pendapatan Masing-masing Pekerja </t>
    </r>
  </si>
  <si>
    <r>
      <t xml:space="preserve">5.  PPh dibebankan sebesar 7,5 % </t>
    </r>
    <r>
      <rPr>
        <b/>
        <sz val="10"/>
        <rFont val="Arial"/>
        <family val="2"/>
      </rPr>
      <t>dari</t>
    </r>
    <r>
      <rPr>
        <sz val="10"/>
        <rFont val="Arial"/>
        <family val="2"/>
      </rPr>
      <t xml:space="preserve"> Pokok Pendapatan untuk semua pekerja</t>
    </r>
  </si>
  <si>
    <t xml:space="preserve">6. Total Penerimaan adalah pendapatan masing-masing pekerja dari Pokok Pendapatan setelah ditambah nilai Bonus </t>
  </si>
  <si>
    <t xml:space="preserve">    dan dikurangi PPh</t>
  </si>
  <si>
    <t>LATIAHAN - 14</t>
  </si>
  <si>
    <t>LAPORAN PENJUALAN OBAT</t>
  </si>
  <si>
    <t>APOTEK "KIMIA FARMA INDONESIA"</t>
  </si>
  <si>
    <t>Kode Obat</t>
  </si>
  <si>
    <t>Nama Obat</t>
  </si>
  <si>
    <t>Harga Satuan</t>
  </si>
  <si>
    <t>Jumlah Obat</t>
  </si>
  <si>
    <t>Harga Total (Rp)</t>
  </si>
  <si>
    <t>Nama Apotik</t>
  </si>
  <si>
    <t>Discount (Rp)</t>
  </si>
  <si>
    <t>Bonus (Rp)</t>
  </si>
  <si>
    <t>Pajak (Rp)</t>
  </si>
  <si>
    <t>Total Bayar (Rp)</t>
  </si>
  <si>
    <t>ASP</t>
  </si>
  <si>
    <t>Tunai</t>
  </si>
  <si>
    <t>DCL</t>
  </si>
  <si>
    <t xml:space="preserve">Kredit </t>
  </si>
  <si>
    <t>Sakinah</t>
  </si>
  <si>
    <t>Sejahtera</t>
  </si>
  <si>
    <t>BLS</t>
  </si>
  <si>
    <t>Mujarabah</t>
  </si>
  <si>
    <t>Tabel Obat</t>
  </si>
  <si>
    <t>Aspirin</t>
  </si>
  <si>
    <t>Balsem</t>
  </si>
  <si>
    <t>Decolsin</t>
  </si>
  <si>
    <t>Pembayaran</t>
  </si>
  <si>
    <t>* Nama Obat dan Harga Satuan diperoleh dari Tabel Obat</t>
  </si>
  <si>
    <t>* Total Harga = Harga satuan x Jumlah Obat</t>
  </si>
  <si>
    <t>* Bonus</t>
  </si>
  <si>
    <t>* Discount</t>
  </si>
  <si>
    <t xml:space="preserve">   - Jika Jenis pembayaran = "Tunai" maka discount 15 % dari Total Harga</t>
  </si>
  <si>
    <t xml:space="preserve">   - Jika Jenis pembayaran = "Kredit" maka tidak mendapatkan discount</t>
  </si>
  <si>
    <t>* Pajak = 5 % x Total Harga</t>
  </si>
  <si>
    <t>* Total Bayar = Total Harga + Pajak - Discount - Bonus</t>
  </si>
  <si>
    <t>LATIHAN - 15</t>
  </si>
  <si>
    <t>Laporan Keuntungan Mingguan</t>
  </si>
  <si>
    <t>TOKO "LISTRIK JAYA"</t>
  </si>
  <si>
    <t>Jakarta</t>
  </si>
  <si>
    <t>Minggu</t>
  </si>
  <si>
    <t>Kode Barang</t>
  </si>
  <si>
    <t>Merk Barang</t>
  </si>
  <si>
    <t>Modal Satuan</t>
  </si>
  <si>
    <t>Harga Jual Satuan</t>
  </si>
  <si>
    <t>Jumlah Terjual</t>
  </si>
  <si>
    <t>Modal Pembelian</t>
  </si>
  <si>
    <t>Total Penjualan</t>
  </si>
  <si>
    <t>Laba</t>
  </si>
  <si>
    <t>Bonus Karyawan</t>
  </si>
  <si>
    <t>Nilai Total</t>
  </si>
  <si>
    <t>Kode Merk</t>
  </si>
  <si>
    <t>Merk</t>
  </si>
  <si>
    <t>SL</t>
  </si>
  <si>
    <t>National</t>
  </si>
  <si>
    <t>KA</t>
  </si>
  <si>
    <t>Philips</t>
  </si>
  <si>
    <t>BL</t>
  </si>
  <si>
    <t>Blender</t>
  </si>
  <si>
    <t>LG</t>
  </si>
  <si>
    <t>KK</t>
  </si>
  <si>
    <t>Toshiba</t>
  </si>
  <si>
    <t>MC</t>
  </si>
  <si>
    <t>Samsung</t>
  </si>
  <si>
    <t>01</t>
  </si>
  <si>
    <t>02</t>
  </si>
  <si>
    <t>03</t>
  </si>
  <si>
    <t>04</t>
  </si>
  <si>
    <t>05</t>
  </si>
  <si>
    <t>* Nama Barang diambil dari Tabel 1 berdasarkan Kode Barang</t>
  </si>
  <si>
    <t>Tabel - 1</t>
  </si>
  <si>
    <t>Tabel - 2</t>
  </si>
  <si>
    <t>* Merk diambil dari Tabel 2 berdasarkan Kode Merk</t>
  </si>
  <si>
    <t>Keterangan Kode Barang :</t>
  </si>
  <si>
    <t xml:space="preserve"> Dua digit pertama adalah Kode Barang</t>
  </si>
  <si>
    <t xml:space="preserve"> Dua digit terakhir adalah Kode Merk</t>
  </si>
  <si>
    <t>* Harga jual satuan = Modal satuan + 25 % dari modal satuan</t>
  </si>
  <si>
    <t>* Modal Pembelian = Jumlah terjual x Modal satuan</t>
  </si>
  <si>
    <t>* Total Penjualan = Jumlah terjual x Harga jual satuan</t>
  </si>
  <si>
    <t>* Laba = Total penjualan - Modal Pembelian</t>
  </si>
  <si>
    <t>* Bonus Karyawan</t>
  </si>
  <si>
    <t>Jika nilai Laba &gt; 2 juta rupiah maka Bonus Karyawan = 15 % dari laba</t>
  </si>
  <si>
    <t>Jika nilai Laba &gt;= 1juta rupiah maka Bonus Karyawan = 10 % dari laba</t>
  </si>
  <si>
    <t>Jika nilai Laba &gt;= 500 ribu rupiah maka Bonus Karyawan = 5 % dari laba</t>
  </si>
  <si>
    <t>Jika nilai Laba &lt; 500ribu rupiah maka tidak ada bonus karyawan</t>
  </si>
  <si>
    <t>SL-01</t>
  </si>
  <si>
    <t>KA-01</t>
  </si>
  <si>
    <t>BL-02</t>
  </si>
  <si>
    <t>KK-04</t>
  </si>
  <si>
    <t>MC-05</t>
  </si>
  <si>
    <t>SL-02</t>
  </si>
  <si>
    <t>BL-01</t>
  </si>
  <si>
    <t>KK-03</t>
  </si>
  <si>
    <t>MC-03</t>
  </si>
  <si>
    <t>KK-05</t>
  </si>
  <si>
    <r>
      <t xml:space="preserve">   - Jika </t>
    </r>
    <r>
      <rPr>
        <b/>
        <sz val="10"/>
        <rFont val="Arial"/>
        <family val="2"/>
      </rPr>
      <t>Total Harga</t>
    </r>
    <r>
      <rPr>
        <sz val="10"/>
        <rFont val="Arial"/>
        <charset val="1"/>
      </rPr>
      <t xml:space="preserve"> diatas 500000 maka dapat bonus 10 % dari Total Harga</t>
    </r>
  </si>
  <si>
    <r>
      <t xml:space="preserve">   - Jika </t>
    </r>
    <r>
      <rPr>
        <b/>
        <sz val="10"/>
        <rFont val="Arial"/>
        <family val="2"/>
      </rPr>
      <t>Jumlah Obat</t>
    </r>
    <r>
      <rPr>
        <sz val="10"/>
        <rFont val="Arial"/>
        <charset val="1"/>
      </rPr>
      <t xml:space="preserve"> dibawah 50 maka tidak mendapat bonus</t>
    </r>
  </si>
  <si>
    <t>TABEL BUKU</t>
  </si>
  <si>
    <t>Kode Buku</t>
  </si>
  <si>
    <t>Uang Sewa Per Hari</t>
  </si>
  <si>
    <t>Denda Per Hari</t>
  </si>
  <si>
    <t>Potongan</t>
  </si>
  <si>
    <t>101</t>
  </si>
  <si>
    <t>102</t>
  </si>
  <si>
    <t>Filsafat</t>
  </si>
  <si>
    <t>103</t>
  </si>
  <si>
    <t>Ekonomi</t>
  </si>
  <si>
    <t>104</t>
  </si>
  <si>
    <t>Agama</t>
  </si>
  <si>
    <t>105</t>
  </si>
  <si>
    <t>TANGGAL HARI INI</t>
  </si>
  <si>
    <t>No Urut</t>
  </si>
  <si>
    <t>Banyak Pinjaman</t>
  </si>
  <si>
    <t>Tanggal Harus Kembali</t>
  </si>
  <si>
    <t>Lama Pinjam</t>
  </si>
  <si>
    <t>Bayar Sewa</t>
  </si>
  <si>
    <t>Denda</t>
  </si>
  <si>
    <t>Discount</t>
  </si>
  <si>
    <t>Biaya Total</t>
  </si>
  <si>
    <t>RIKA PUJIASTUTI P</t>
  </si>
  <si>
    <t>IIN DUWI</t>
  </si>
  <si>
    <t>ADE KUSUMA</t>
  </si>
  <si>
    <t>JONI IRAWAN</t>
  </si>
  <si>
    <t>YOSEPH ROBERTO</t>
  </si>
  <si>
    <t>YULI RISTIANTI</t>
  </si>
  <si>
    <t>ISMANTI MULYANDARI</t>
  </si>
  <si>
    <t>YOGA ADHITYA N</t>
  </si>
  <si>
    <t>WISNU FADILA</t>
  </si>
  <si>
    <t>HENY NURHAENI</t>
  </si>
  <si>
    <t>KETENTUAN</t>
  </si>
  <si>
    <t># Bayar Sewa didapat dari Tabel Buku yaitu uang sewa per hari dengan kunci Kode Buku dengan Banyak Pinjaman</t>
  </si>
  <si>
    <t>Misal. Buku yang dipinjam dengan kode buku 103 (denda per hari Rp. 100) dan banyaknya pinjaman buku 5</t>
  </si>
  <si>
    <t>Tanggal harus kembali 10 September 2005, sedangkan hari ini tanggal 19 September 2005</t>
  </si>
  <si>
    <t>Berarti keterlamabatan 10 hari dikalikan dengan banyaknya buku yang dipinjam 5 buah dan denda</t>
  </si>
  <si>
    <t>Jadi Denda yaitu 10 x 100 x 5 = 5,000. Bila Tanggal harus kembali tidak melebihi hari ini berarti tidak didenda (nilai 0)</t>
  </si>
  <si>
    <t xml:space="preserve">   dengan kode buku yang dipinjam dengan ketentuan potongan pada Tabel Buku</t>
  </si>
  <si>
    <r>
      <t xml:space="preserve"># Kolom </t>
    </r>
    <r>
      <rPr>
        <b/>
        <sz val="10"/>
        <rFont val="Arial"/>
        <family val="2"/>
      </rPr>
      <t>Jenis Buku</t>
    </r>
    <r>
      <rPr>
        <sz val="10"/>
        <rFont val="Arial"/>
        <charset val="1"/>
      </rPr>
      <t xml:space="preserve"> didapat dari </t>
    </r>
    <r>
      <rPr>
        <b/>
        <sz val="10"/>
        <rFont val="Arial"/>
        <family val="2"/>
      </rPr>
      <t>Tabel Buku</t>
    </r>
    <r>
      <rPr>
        <sz val="10"/>
        <rFont val="Arial"/>
        <charset val="1"/>
      </rPr>
      <t xml:space="preserve"> dengan kunci </t>
    </r>
    <r>
      <rPr>
        <b/>
        <sz val="10"/>
        <rFont val="Arial"/>
        <family val="2"/>
      </rPr>
      <t>Kode Buku</t>
    </r>
  </si>
  <si>
    <r>
      <t xml:space="preserve"># </t>
    </r>
    <r>
      <rPr>
        <b/>
        <sz val="10"/>
        <rFont val="Arial"/>
        <family val="2"/>
      </rPr>
      <t>Tanggal Pinjam</t>
    </r>
    <r>
      <rPr>
        <sz val="10"/>
        <rFont val="Arial"/>
        <charset val="1"/>
      </rPr>
      <t xml:space="preserve"> ditentukan </t>
    </r>
    <r>
      <rPr>
        <i/>
        <sz val="10"/>
        <rFont val="Arial"/>
        <family val="2"/>
      </rPr>
      <t>14 hari sebelum</t>
    </r>
    <r>
      <rPr>
        <sz val="10"/>
        <rFont val="Arial"/>
        <charset val="1"/>
      </rPr>
      <t xml:space="preserve"> </t>
    </r>
    <r>
      <rPr>
        <b/>
        <sz val="10"/>
        <rFont val="Arial"/>
        <family val="2"/>
      </rPr>
      <t>Tanggal Harus Kembali</t>
    </r>
  </si>
  <si>
    <r>
      <t xml:space="preserve"># </t>
    </r>
    <r>
      <rPr>
        <b/>
        <sz val="10"/>
        <rFont val="Arial"/>
        <family val="2"/>
      </rPr>
      <t>Lama Pinjam</t>
    </r>
    <r>
      <rPr>
        <sz val="10"/>
        <rFont val="Arial"/>
        <charset val="1"/>
      </rPr>
      <t xml:space="preserve"> didapat dari selisih tanggal hari ini dengan </t>
    </r>
    <r>
      <rPr>
        <b/>
        <sz val="10"/>
        <rFont val="Arial"/>
        <family val="2"/>
      </rPr>
      <t>Tanggal Pinjam</t>
    </r>
  </si>
  <si>
    <r>
      <t xml:space="preserve"># </t>
    </r>
    <r>
      <rPr>
        <b/>
        <sz val="10"/>
        <rFont val="Arial"/>
        <family val="2"/>
      </rPr>
      <t xml:space="preserve">Denda </t>
    </r>
    <r>
      <rPr>
        <sz val="10"/>
        <rFont val="Arial"/>
        <charset val="1"/>
      </rPr>
      <t xml:space="preserve">diperoleh bila </t>
    </r>
    <r>
      <rPr>
        <b/>
        <sz val="10"/>
        <rFont val="Arial"/>
        <family val="2"/>
      </rPr>
      <t>Tanggal Harus Kembali</t>
    </r>
    <r>
      <rPr>
        <sz val="10"/>
        <rFont val="Arial"/>
        <charset val="1"/>
      </rPr>
      <t xml:space="preserve"> melebihi </t>
    </r>
    <r>
      <rPr>
        <b/>
        <sz val="10"/>
        <rFont val="Arial"/>
        <family val="2"/>
      </rPr>
      <t>Tanggal Hari ini</t>
    </r>
    <r>
      <rPr>
        <sz val="10"/>
        <rFont val="Arial"/>
        <charset val="1"/>
      </rPr>
      <t xml:space="preserve"> dengan ketentuan keterlambatan hari dikalikan dengan </t>
    </r>
  </si>
  <si>
    <r>
      <t xml:space="preserve">   </t>
    </r>
    <r>
      <rPr>
        <b/>
        <sz val="10"/>
        <rFont val="Arial"/>
        <family val="2"/>
      </rPr>
      <t>Denda Per Hari</t>
    </r>
    <r>
      <rPr>
        <sz val="10"/>
        <rFont val="Arial"/>
        <charset val="1"/>
      </rPr>
      <t xml:space="preserve"> pada Tabel Buku sesuai kunci Kode buku dikalikan banyaknya pinjaman.</t>
    </r>
  </si>
  <si>
    <r>
      <t xml:space="preserve"># </t>
    </r>
    <r>
      <rPr>
        <b/>
        <sz val="10"/>
        <rFont val="Arial"/>
        <family val="2"/>
      </rPr>
      <t>Discount</t>
    </r>
    <r>
      <rPr>
        <sz val="10"/>
        <rFont val="Arial"/>
        <charset val="1"/>
      </rPr>
      <t xml:space="preserve"> didapat dari kelebihan buku pinjaman yang meminjam sama atau lebih dari 5 buku. Kelebihan pinjaman buku disesuaikan </t>
    </r>
  </si>
  <si>
    <r>
      <t xml:space="preserve"># </t>
    </r>
    <r>
      <rPr>
        <b/>
        <sz val="10"/>
        <rFont val="Arial"/>
        <family val="2"/>
      </rPr>
      <t>Biaya Total</t>
    </r>
    <r>
      <rPr>
        <sz val="10"/>
        <rFont val="Arial"/>
        <charset val="1"/>
      </rPr>
      <t xml:space="preserve"> didapat dari jumlah </t>
    </r>
    <r>
      <rPr>
        <b/>
        <sz val="10"/>
        <rFont val="Arial"/>
        <family val="2"/>
      </rPr>
      <t xml:space="preserve">Biaya sewa </t>
    </r>
    <r>
      <rPr>
        <sz val="10"/>
        <rFont val="Arial"/>
        <charset val="1"/>
      </rPr>
      <t xml:space="preserve">dan </t>
    </r>
    <r>
      <rPr>
        <b/>
        <sz val="10"/>
        <rFont val="Arial"/>
        <family val="2"/>
      </rPr>
      <t>Denda</t>
    </r>
    <r>
      <rPr>
        <sz val="10"/>
        <rFont val="Arial"/>
        <charset val="1"/>
      </rPr>
      <t xml:space="preserve"> dikurangi </t>
    </r>
    <r>
      <rPr>
        <b/>
        <sz val="10"/>
        <rFont val="Arial"/>
        <family val="2"/>
      </rPr>
      <t>Discount</t>
    </r>
  </si>
  <si>
    <t>LATIHAN 16</t>
  </si>
  <si>
    <t>PT MARKET CENTER</t>
  </si>
  <si>
    <t>DAFTAR PENJUALAN BARANG</t>
  </si>
  <si>
    <t>NO</t>
  </si>
  <si>
    <t>KODE BARANG</t>
  </si>
  <si>
    <t>JENIS BARANG</t>
  </si>
  <si>
    <t>NAMA BARANG</t>
  </si>
  <si>
    <t>PENJUAL</t>
  </si>
  <si>
    <t>HARGA SATUAN</t>
  </si>
  <si>
    <t>JUMLAH BELI</t>
  </si>
  <si>
    <t>DISCOUNT</t>
  </si>
  <si>
    <t>TOTAL HARGA</t>
  </si>
  <si>
    <t>PK/AR/MT</t>
  </si>
  <si>
    <t>SP/HM/RB</t>
  </si>
  <si>
    <t>CL/LA/RM</t>
  </si>
  <si>
    <t>Data yang Dicari</t>
  </si>
  <si>
    <t>Bila kode barang dari sebelah kiri adalah PK maka jenis barang adalah Pakaian</t>
  </si>
  <si>
    <t>Bila kode barang dari sebelah kiri adalah SP maka jenis barang adalah Sepatu</t>
  </si>
  <si>
    <t>Bila kode barang dari sebelah kiri adalah CL maka jenis barang adalah Celana</t>
  </si>
  <si>
    <t>Jika kode barang AR maka nama barang adalah Baju Arrow</t>
  </si>
  <si>
    <t>Jika kode barang HM maka nama barang adalah Kaos Hammer</t>
  </si>
  <si>
    <t>Jika kode barang LA maka nama barang adalah Celana LEA</t>
  </si>
  <si>
    <t>Bila kode barang adalah MT maka penjualnya adalah Matahari</t>
  </si>
  <si>
    <t>Bila kode barang adalah RB maka penjualnya adalah Robinson</t>
  </si>
  <si>
    <t>Bila kode barang adalah RM maka penjualnya adalah Ramayana</t>
  </si>
  <si>
    <t>4. Harga satuan diisi</t>
  </si>
  <si>
    <t>Bila Jumlah Beli &gt;= 20 maka mendapat discount 5 % dari harga satuan</t>
  </si>
  <si>
    <t>Bila Jumlah Beli &lt; 20 dan Jumlah Beli &gt;= 10 maka mendapat discount 5 % dari harga satuan</t>
  </si>
  <si>
    <t>Bila Jumlah Beli &lt; 10 maka mendapat discount 5 % dari harga satuan</t>
  </si>
  <si>
    <t>Jika Kode Barang AR maka harga satuan = 75.000</t>
  </si>
  <si>
    <t>Jika Kode Barang HM maka harga satuan = 65.000</t>
  </si>
  <si>
    <t>Jika Kode Barang LA maka harga satuan = 45.000</t>
  </si>
  <si>
    <t>Latihan 17</t>
  </si>
  <si>
    <t>1. Jenis Barang diisi</t>
  </si>
  <si>
    <t>2. Nama Barang diisi</t>
  </si>
  <si>
    <t>3. Penjual diisi</t>
  </si>
  <si>
    <t>5. Discount diisi</t>
  </si>
  <si>
    <t>6. Total Harga = (Harga Satuan * Jumlah Beli) + Discount</t>
  </si>
  <si>
    <t>DAFTAR GAJI</t>
  </si>
  <si>
    <t>PT.HERO</t>
  </si>
  <si>
    <t>JAKARTA - INDONESIA</t>
  </si>
  <si>
    <t>Tanggal Laporan</t>
  </si>
  <si>
    <t>TanggalMasuk</t>
  </si>
  <si>
    <t>Gol</t>
  </si>
  <si>
    <t>Status</t>
  </si>
  <si>
    <t>Jam</t>
  </si>
  <si>
    <t xml:space="preserve">Lama </t>
  </si>
  <si>
    <t>Masa Kerja</t>
  </si>
  <si>
    <t>Tunjangan</t>
  </si>
  <si>
    <t>Gaji Bersih</t>
  </si>
  <si>
    <t>Keluar</t>
  </si>
  <si>
    <t>Istri</t>
  </si>
  <si>
    <t>Anak</t>
  </si>
  <si>
    <t>Uken Sukmaayu</t>
  </si>
  <si>
    <t>SultanIQ</t>
  </si>
  <si>
    <t>Moh Jordan</t>
  </si>
  <si>
    <t>Imron Rosadi</t>
  </si>
  <si>
    <t>Ade Firman</t>
  </si>
  <si>
    <t>Beby Romeo</t>
  </si>
  <si>
    <t>Andi Malarangeng</t>
  </si>
  <si>
    <t>Abdul Rojak</t>
  </si>
  <si>
    <t>Ermawan</t>
  </si>
  <si>
    <t>Darmawan</t>
  </si>
  <si>
    <t>PERINTAH</t>
  </si>
  <si>
    <t>Lama Kerja</t>
  </si>
  <si>
    <t>Jam Pulang - Jam Masuk</t>
  </si>
  <si>
    <t>Tanggal Laporan -Tanggal Masuk</t>
  </si>
  <si>
    <t>Jika Gol = 1 maka Rp 500.000,00</t>
  </si>
  <si>
    <t>jika Gol = 2 maka Rp 550.000,00</t>
  </si>
  <si>
    <t>jika Gol = 3 maka Rp 650.000,00</t>
  </si>
  <si>
    <t>jika Gol = 4 maka Rp 700.000,00</t>
  </si>
  <si>
    <t>Tunjangan istri</t>
  </si>
  <si>
    <t>Jika Status="K"maka Rp 100.000,00</t>
  </si>
  <si>
    <t>Jika Status="B"maka 0</t>
  </si>
  <si>
    <t>Tunjangan Anak</t>
  </si>
  <si>
    <t>jika Golongan = 1 maka Rp  75.000,00</t>
  </si>
  <si>
    <t>jika Golongan = 2 maka Rp 100.000,00</t>
  </si>
  <si>
    <t>Jika Golongan = 3 maka Rp 120.000,00</t>
  </si>
  <si>
    <t>Jika golongan = 4 maka Rp 150.000,00</t>
  </si>
  <si>
    <t>= Gaji pokok + tunjangan</t>
  </si>
  <si>
    <t>=5% * gaji pokok</t>
  </si>
  <si>
    <t>=Total Gaji - pajak</t>
  </si>
  <si>
    <t>Total</t>
  </si>
  <si>
    <t>DAFTAR GAJI PEGAWAI</t>
  </si>
  <si>
    <t>PT.HERO GROUP</t>
  </si>
  <si>
    <t>JAKARTA-INDONESIA</t>
  </si>
  <si>
    <t>NAMA PEGAWAI</t>
  </si>
  <si>
    <t>GOL</t>
  </si>
  <si>
    <t>STATUS</t>
  </si>
  <si>
    <t>JABATAN</t>
  </si>
  <si>
    <t>GAJI POKOK</t>
  </si>
  <si>
    <t>TUNJ.ANAK</t>
  </si>
  <si>
    <t>TUNJ.ISTRI</t>
  </si>
  <si>
    <t>JUMLAH GAJI</t>
  </si>
  <si>
    <t>POTONGAN</t>
  </si>
  <si>
    <t>TOTAL GAJI</t>
  </si>
  <si>
    <t>Datuk Maringgih</t>
  </si>
  <si>
    <t>I</t>
  </si>
  <si>
    <t>Damsik</t>
  </si>
  <si>
    <t>II</t>
  </si>
  <si>
    <t>Abilio Soares</t>
  </si>
  <si>
    <t>Mukhtar Pahpahan</t>
  </si>
  <si>
    <t>Budiono</t>
  </si>
  <si>
    <t>Jordan Indo</t>
  </si>
  <si>
    <t>Irma Ratna</t>
  </si>
  <si>
    <t>mangun Harjo</t>
  </si>
  <si>
    <t>III</t>
  </si>
  <si>
    <t>perintah</t>
  </si>
  <si>
    <t xml:space="preserve">K = kawin </t>
  </si>
  <si>
    <t>B = belum kawin</t>
  </si>
  <si>
    <t>Jika golongan = "I" maka "Marketing"</t>
  </si>
  <si>
    <t>Jika golongan = "II" maka "Administrasi"</t>
  </si>
  <si>
    <t>Jika golongan = "III" maka "Direktur"</t>
  </si>
  <si>
    <t>jika jabatan = "Marketing" maka Rp 250.000,00</t>
  </si>
  <si>
    <t>jika jabatan = "Direktur" maka Rp 500.000,00</t>
  </si>
  <si>
    <t>jika jabatan = "Administrasi" maka Rp 300.000,00</t>
  </si>
  <si>
    <t>Jika status = "K" maka Rp 100.000,00</t>
  </si>
  <si>
    <t>Jika Status = "B" maka Rp 75.000,00</t>
  </si>
  <si>
    <t>Tunjangan Istri</t>
  </si>
  <si>
    <t>Jika Status = "K" maka Rp 150.000,00</t>
  </si>
  <si>
    <t>Jika Status = " B" maka 0</t>
  </si>
  <si>
    <t>Jumlah Gaji</t>
  </si>
  <si>
    <t>gaji pokok + tunjangan</t>
  </si>
  <si>
    <t>Jika Jumlah gaji lebih dari Rp 600.000,00 maka 5% dari Gaji pokok</t>
  </si>
  <si>
    <r>
      <t>Jika Jumlah gaji kurang dari Rp 600.000,00 maka 1</t>
    </r>
    <r>
      <rPr>
        <sz val="10"/>
        <rFont val="Arial"/>
        <family val="2"/>
      </rPr>
      <t>,5%</t>
    </r>
    <r>
      <rPr>
        <sz val="10"/>
        <rFont val="Arial"/>
        <charset val="1"/>
      </rPr>
      <t xml:space="preserve">  dari Gaji pokok</t>
    </r>
  </si>
  <si>
    <t>= jumlah gaji - potongan</t>
  </si>
  <si>
    <t>PT.PLN JAYA</t>
  </si>
  <si>
    <t>BEAYA REKENING LISTRIK</t>
  </si>
  <si>
    <t>BULAN DESEMBER</t>
  </si>
  <si>
    <t>JENIS</t>
  </si>
  <si>
    <t>METERAN</t>
  </si>
  <si>
    <t>BIAYA</t>
  </si>
  <si>
    <t>DAYA</t>
  </si>
  <si>
    <t>AWAL</t>
  </si>
  <si>
    <t>AKHIR</t>
  </si>
  <si>
    <t>TERPAKAI</t>
  </si>
  <si>
    <t>BEBAN</t>
  </si>
  <si>
    <t>METERAN /KWH</t>
  </si>
  <si>
    <t>PEMAKAIAN</t>
  </si>
  <si>
    <t>KAKA SLANK</t>
  </si>
  <si>
    <t>65-NA-35</t>
  </si>
  <si>
    <t>DHANI DEWA</t>
  </si>
  <si>
    <t>35-RM-04</t>
  </si>
  <si>
    <t>ARMAN MAULANA</t>
  </si>
  <si>
    <t>35-RM-09</t>
  </si>
  <si>
    <t>PIYU PADI</t>
  </si>
  <si>
    <t>20-SS-23</t>
  </si>
  <si>
    <t>KRISDAYANTI</t>
  </si>
  <si>
    <t>MEMES</t>
  </si>
  <si>
    <t>DUTA SHELA ON 7</t>
  </si>
  <si>
    <t>DEWA BUJANA</t>
  </si>
  <si>
    <t>EBIT G ADE</t>
  </si>
  <si>
    <t>IWAN FALS</t>
  </si>
  <si>
    <t>NAMA PELANGGAN</t>
  </si>
  <si>
    <t>BESAR DAYA</t>
  </si>
  <si>
    <t>jika kode "NA" maka "Niaga"</t>
  </si>
  <si>
    <t>jika kode "RM" maka "Rumah"</t>
  </si>
  <si>
    <t>jika kode "SS" maka "Sosial"</t>
  </si>
  <si>
    <t>Jenis (kode diambil dari tengah)</t>
  </si>
  <si>
    <t>Besar daya (kode diambil dari kanan)</t>
  </si>
  <si>
    <t>jika kode "04" maka 450</t>
  </si>
  <si>
    <t>jika kode "09" maka 900</t>
  </si>
  <si>
    <t>jika kode "13" maka 1300</t>
  </si>
  <si>
    <t>jika kode "35" maka 3500</t>
  </si>
  <si>
    <t>Meteran Terpakai</t>
  </si>
  <si>
    <t>=meteran akhir - meteran awal</t>
  </si>
  <si>
    <t>Beaya Beban</t>
  </si>
  <si>
    <t>jika kode "20" maka 15000</t>
  </si>
  <si>
    <t>jika kode "35" maka 35000</t>
  </si>
  <si>
    <t>jika kode "65" maka 50000</t>
  </si>
  <si>
    <t>Biaya meteran/KWH</t>
  </si>
  <si>
    <t>jika besar daya kurang dari 1000 maka Rp 450,00</t>
  </si>
  <si>
    <t>jika besar daya kurang dari 2000 maka Rp 650,00</t>
  </si>
  <si>
    <t>jika besar daya kurang dari 2000 maka Rp 450,00</t>
  </si>
  <si>
    <t>Biaya Pemakaian</t>
  </si>
  <si>
    <t>= metran terpakai *biaya/KWA</t>
  </si>
  <si>
    <t>Jumlah bayar</t>
  </si>
  <si>
    <t>= biaya beban+biaya pemakaian</t>
  </si>
  <si>
    <t>JUMLAH BAYAR</t>
  </si>
  <si>
    <t>PENGINAPAN MAWAR BERDURI</t>
  </si>
  <si>
    <t>PUNCAK-CISARUA</t>
  </si>
  <si>
    <t>TYPE KAMAR</t>
  </si>
  <si>
    <t>JENIS BED</t>
  </si>
  <si>
    <t>KELAS</t>
  </si>
  <si>
    <t>LANTAI</t>
  </si>
  <si>
    <t>LAMA INAP</t>
  </si>
  <si>
    <t>BIAYA   SEWA</t>
  </si>
  <si>
    <t>BIAYA TAMBAHAN</t>
  </si>
  <si>
    <t>TOTAL       BIAYA</t>
  </si>
  <si>
    <t>KAMAR</t>
  </si>
  <si>
    <t>Kaka slank</t>
  </si>
  <si>
    <t>VID</t>
  </si>
  <si>
    <t>dhani dewa</t>
  </si>
  <si>
    <t>F2S</t>
  </si>
  <si>
    <t>Arman Maulana</t>
  </si>
  <si>
    <t>F3S</t>
  </si>
  <si>
    <t>Piyu  Padi</t>
  </si>
  <si>
    <t>S2D</t>
  </si>
  <si>
    <t>Krisdayanti</t>
  </si>
  <si>
    <t>V1S</t>
  </si>
  <si>
    <t>Memes</t>
  </si>
  <si>
    <t>Duta Shela on7</t>
  </si>
  <si>
    <t>Dewa Bujana</t>
  </si>
  <si>
    <t>S3S</t>
  </si>
  <si>
    <t>Ebit Gade</t>
  </si>
  <si>
    <t>V2S</t>
  </si>
  <si>
    <t>Iwan Fals</t>
  </si>
  <si>
    <t>F1D</t>
  </si>
  <si>
    <t>Gunakan Rumus membaca kode = RIGHT(sel;jum huruf yg diambil) dalam pengandaian (IF)</t>
  </si>
  <si>
    <t>jika Type kamar ="D" maka "Double"</t>
  </si>
  <si>
    <t>jika Type kamar ="S" maka "Single"</t>
  </si>
  <si>
    <t>Kelas</t>
  </si>
  <si>
    <t>Gunakan Rumus membaca kode = LEFT(sel;jum huruf yg diambil) dalam pengandaian (IF)</t>
  </si>
  <si>
    <t>jika Type kamar ="V" maka "VIP"</t>
  </si>
  <si>
    <t>jika Type kamar ="F" maka "Family"</t>
  </si>
  <si>
    <t>jika Type kamar ="S" maka "Suitroom"</t>
  </si>
  <si>
    <t>Lantai</t>
  </si>
  <si>
    <t>Gunakan Rumus membaca kode = MID(sel;urutan huruf ke;jum huruf yg diambil) dalam rumus pengandaian (IF)</t>
  </si>
  <si>
    <t>Jika Type kamar ="1" maka "lantai 1"</t>
  </si>
  <si>
    <t>Jika Type kamar ="2" maka "lantai 2"</t>
  </si>
  <si>
    <t>Jika Type kamar ="3" maka "lantai 3"</t>
  </si>
  <si>
    <t>Biaya Sewa</t>
  </si>
  <si>
    <t>jika kelas = "VIP" maka Rp 350.000,00</t>
  </si>
  <si>
    <t>jika kelas = "Family" maka Rp 250.000,00</t>
  </si>
  <si>
    <t>jika kelas = "Suitroom" maka Rp 75.000,00</t>
  </si>
  <si>
    <t>Biaya Tambahan</t>
  </si>
  <si>
    <t>jika jenis bed = "Double" maka 5% * biaya sewa</t>
  </si>
  <si>
    <t>jika jenis bed = "Single" maka 0 * biaya sewa</t>
  </si>
  <si>
    <t>PT.GAJAHMADA MOBILINDO</t>
  </si>
  <si>
    <t>BULAN DESEMBER 2005</t>
  </si>
  <si>
    <t>NAMA PT</t>
  </si>
  <si>
    <t>HARGA MOBIL</t>
  </si>
  <si>
    <t>ONGKOS MOBIL</t>
  </si>
  <si>
    <t>PEMBELIAN</t>
  </si>
  <si>
    <t>PEMBAYARAN</t>
  </si>
  <si>
    <t>BANK BALI</t>
  </si>
  <si>
    <t>MK</t>
  </si>
  <si>
    <t>PUSTAKA</t>
  </si>
  <si>
    <t>MD</t>
  </si>
  <si>
    <t>DANAMON</t>
  </si>
  <si>
    <t>MS</t>
  </si>
  <si>
    <t>KOMPASINDO</t>
  </si>
  <si>
    <t>INTERMEDIA</t>
  </si>
  <si>
    <t>KRAKATAU</t>
  </si>
  <si>
    <t>PERMATA</t>
  </si>
  <si>
    <t>RUMPUSS</t>
  </si>
  <si>
    <t>INTRAS</t>
  </si>
  <si>
    <t>MAX</t>
  </si>
  <si>
    <t>MIN</t>
  </si>
  <si>
    <t>RATA-RATA</t>
  </si>
  <si>
    <t>KODE MOBIL</t>
  </si>
  <si>
    <t>JUMLAH PEMBELIAN</t>
  </si>
  <si>
    <t>NAMA MOBIL</t>
  </si>
  <si>
    <t>JUMLAH DISCOUNT</t>
  </si>
  <si>
    <t>JUMLAH PEMBAYARAN</t>
  </si>
  <si>
    <t>=((HARGA MOBIL+ONGKOS MOBIL)*JUMLAH PEMBELIAN)-DISCOUNT</t>
  </si>
  <si>
    <t>jika jumlah pembelian lebih dari 5 maka 5% dari harga mobil</t>
  </si>
  <si>
    <t>jika jumlah pembelian kurang dari 5 maka 0% dari harga mobil</t>
  </si>
  <si>
    <t>jika kode ="MK" maka  "KIJANG"</t>
  </si>
  <si>
    <t>jika kode ="MD" maka  "Daihatsu"</t>
  </si>
  <si>
    <t>jika kode ="MS" maka  "Suzuki"</t>
  </si>
  <si>
    <t>jika kode ="MK" maka  Rp 250.000.000,00</t>
  </si>
  <si>
    <t>jika kode ="MD" maka  Rp 350.000.000,00</t>
  </si>
  <si>
    <t>jika kode ="MS" maka  Rp 400.000.000,00</t>
  </si>
  <si>
    <t>jika kode ="MK" maka 10% dari harga mobil</t>
  </si>
  <si>
    <t>jika kode ="MD" maka 15% dari harga mobil</t>
  </si>
  <si>
    <t>jika kode ="MS" maka 18% dari harga mobil</t>
  </si>
  <si>
    <t>DAFTAR NILAI UJIAN SISWA</t>
  </si>
  <si>
    <t>SMA NEGERI 1 JAKARTA</t>
  </si>
  <si>
    <t>TAHUN 1987</t>
  </si>
  <si>
    <t>NAMA SISWA</t>
  </si>
  <si>
    <t>PREDIKAT</t>
  </si>
  <si>
    <t>KETERANGAN</t>
  </si>
  <si>
    <t>MATEMATIKA</t>
  </si>
  <si>
    <t xml:space="preserve">FISIKA </t>
  </si>
  <si>
    <t>BIOLOGI</t>
  </si>
  <si>
    <t>KIMIA</t>
  </si>
  <si>
    <t>Kaka Slank</t>
  </si>
  <si>
    <t>Dhani Dewa</t>
  </si>
  <si>
    <t xml:space="preserve">Arman Maulana </t>
  </si>
  <si>
    <t>Piyu Padi</t>
  </si>
  <si>
    <t>Duta Shela on 7</t>
  </si>
  <si>
    <t xml:space="preserve">Dewa  Bujana </t>
  </si>
  <si>
    <t>Ebit G ade</t>
  </si>
  <si>
    <t>Nilai tertinggi</t>
  </si>
  <si>
    <t>Nilai terendah</t>
  </si>
  <si>
    <t xml:space="preserve">PERINTAH </t>
  </si>
  <si>
    <t>Jika rata-rata lebih dari 70 maka "LULUS"</t>
  </si>
  <si>
    <t>jika rata-rata kurang dari 70 maka "GAGAL"</t>
  </si>
  <si>
    <t>jika rata-rata kurang dari 60 maka "D"</t>
  </si>
  <si>
    <t>jika rata-rata lebih dari 60, kurang dari 80 maka "C"</t>
  </si>
  <si>
    <t>jika rata-rata lebih dari 80, kurang dari 90 maka "B"</t>
  </si>
  <si>
    <t>jika rata-rata lebih dari 90 maka "A"</t>
  </si>
  <si>
    <t xml:space="preserve">NILAI TERTINGGI </t>
  </si>
  <si>
    <t>= MAX(SEL AWAL:SEL AKHIR)</t>
  </si>
  <si>
    <t xml:space="preserve">NILAI TERENDAH </t>
  </si>
  <si>
    <t>= MIN(SEL AWAL:SEL AKHIR)</t>
  </si>
  <si>
    <t xml:space="preserve">NILAI RATA-RATA </t>
  </si>
  <si>
    <t>= AVERAGE(SEL AWAL:SEL AKHIR)</t>
  </si>
  <si>
    <t>= SUM(SEL AWAL:SEL AKHIR)</t>
  </si>
  <si>
    <t xml:space="preserve">TOKO BUKU JORDAN </t>
  </si>
  <si>
    <t>LAPORAN BULAN DESEMBER 2005</t>
  </si>
  <si>
    <t>NAMA PEMBELI</t>
  </si>
  <si>
    <t>JUMLAH BARANG</t>
  </si>
  <si>
    <t>JUMLAH TERJUAL</t>
  </si>
  <si>
    <t>SISA BARANG</t>
  </si>
  <si>
    <t>JUMLAH HARGA</t>
  </si>
  <si>
    <t xml:space="preserve">POTONGAN </t>
  </si>
  <si>
    <t>Kertas Legal</t>
  </si>
  <si>
    <t>Susilo Bambang  yudoyono</t>
  </si>
  <si>
    <t>kertas A4</t>
  </si>
  <si>
    <t>Megawati Sukarno Putri</t>
  </si>
  <si>
    <t>Kertas Letter</t>
  </si>
  <si>
    <t>Wiranto</t>
  </si>
  <si>
    <t>Buku Gambar</t>
  </si>
  <si>
    <t>Amin Rais</t>
  </si>
  <si>
    <t>Buku Tulis</t>
  </si>
  <si>
    <t>Hamzah Has</t>
  </si>
  <si>
    <t>Penggaris</t>
  </si>
  <si>
    <t>Gusdur</t>
  </si>
  <si>
    <t>Bolpoin</t>
  </si>
  <si>
    <t>Gussoleh</t>
  </si>
  <si>
    <t>Pinsil</t>
  </si>
  <si>
    <t xml:space="preserve">Akbar Tanjung </t>
  </si>
  <si>
    <t>Map</t>
  </si>
  <si>
    <t>Tas</t>
  </si>
  <si>
    <t>Spidol</t>
  </si>
  <si>
    <t>Typex</t>
  </si>
  <si>
    <t>Majalah MBS</t>
  </si>
  <si>
    <t>Majalah PC</t>
  </si>
  <si>
    <t>Majalah Nova</t>
  </si>
  <si>
    <t>Suharto</t>
  </si>
  <si>
    <t xml:space="preserve">Jumlah Harga </t>
  </si>
  <si>
    <t>= Jumlah Terjual * Harga Satuan</t>
  </si>
  <si>
    <t xml:space="preserve">Sisa Barang </t>
  </si>
  <si>
    <t>= Jumlah Barang - Jumlah Terjual</t>
  </si>
  <si>
    <t>Jumlah Bayar</t>
  </si>
  <si>
    <t>=Jumlah harga - ( Potongan * Jumlah Harga)</t>
  </si>
  <si>
    <t>DAFTAR GAJI KARYAWAN</t>
  </si>
  <si>
    <t>PT.JORDAN JAYA</t>
  </si>
  <si>
    <t>JAKARTA TIMUR</t>
  </si>
  <si>
    <t xml:space="preserve">Satus </t>
  </si>
  <si>
    <t>Gaji pokok</t>
  </si>
  <si>
    <t>Iuran Koperasi</t>
  </si>
  <si>
    <t>Gaji Kotor</t>
  </si>
  <si>
    <t>M alief</t>
  </si>
  <si>
    <t>Staf HRD</t>
  </si>
  <si>
    <t>Fa'iz</t>
  </si>
  <si>
    <t>Afyanto</t>
  </si>
  <si>
    <t>Irvanka</t>
  </si>
  <si>
    <t>Staf Produksi</t>
  </si>
  <si>
    <t>Nur Rosid</t>
  </si>
  <si>
    <t>Pratama</t>
  </si>
  <si>
    <t>Endika</t>
  </si>
  <si>
    <t>Dewa</t>
  </si>
  <si>
    <t>Dandy</t>
  </si>
  <si>
    <t>Staf produksi</t>
  </si>
  <si>
    <t>Azka</t>
  </si>
  <si>
    <t>Security</t>
  </si>
  <si>
    <t>TUNJANGAN</t>
  </si>
  <si>
    <t>30% dari Gaji Pokok</t>
  </si>
  <si>
    <t>1,5% dari Gaji Pokok</t>
  </si>
  <si>
    <t>20% dari (Gaji pokok + tunjangan)</t>
  </si>
  <si>
    <t>(Gaji pokok + tunjangan + bonus) - iuran koperasi</t>
  </si>
  <si>
    <t>jika gaji kotor lebih dari Rp 900.000,00 maka pajak 5% dari Gaji pokok</t>
  </si>
  <si>
    <t>jika gaji kotor lebih dari Rp 400.000,00 maka pajak 2,5% dari Gaji pokok</t>
  </si>
  <si>
    <t>jika gaji kotor kurang dari Rp 150.000,00 maka pajak 1% dari Gaji pokok</t>
  </si>
  <si>
    <t>Gaji kotor - pajak</t>
  </si>
  <si>
    <t>Kriteria</t>
  </si>
  <si>
    <t>Total data</t>
  </si>
  <si>
    <t>* Total { fungsi sumif() }</t>
  </si>
  <si>
    <r>
      <t xml:space="preserve">* </t>
    </r>
    <r>
      <rPr>
        <b/>
        <sz val="10"/>
        <rFont val="Arial"/>
        <family val="2"/>
      </rPr>
      <t>Total data { fungsi countif() }</t>
    </r>
  </si>
  <si>
    <t>Total Buku</t>
  </si>
  <si>
    <t>Pendapatan</t>
  </si>
  <si>
    <t>* Jumlah Peminjam { count () }</t>
  </si>
  <si>
    <r>
      <t xml:space="preserve">* </t>
    </r>
    <r>
      <rPr>
        <b/>
        <sz val="12"/>
        <rFont val="Arial"/>
        <family val="2"/>
      </rPr>
      <t>Jumlah Belanja</t>
    </r>
    <r>
      <rPr>
        <sz val="12"/>
        <rFont val="Arial"/>
        <family val="2"/>
      </rPr>
      <t xml:space="preserve"> : Harga Barang x Jumlah Barang</t>
    </r>
  </si>
  <si>
    <t>Gunakan rumus ANDdalam rumus pengandaian (IF)</t>
  </si>
  <si>
    <t>RAMAL</t>
  </si>
  <si>
    <t>TANGGAL LAHIR</t>
  </si>
  <si>
    <t>KODE LAHIR</t>
  </si>
  <si>
    <t>HARI LAHIR</t>
  </si>
  <si>
    <t>UMUR</t>
  </si>
  <si>
    <t>CIRI/WATAK</t>
  </si>
  <si>
    <t>TAHUN</t>
  </si>
  <si>
    <t>BULAN</t>
  </si>
  <si>
    <t>HARI</t>
  </si>
  <si>
    <t>CITRA MULIA SARI</t>
  </si>
  <si>
    <t>APLIKASI</t>
  </si>
  <si>
    <t>RADITYA DANU ERLANGGA</t>
  </si>
  <si>
    <t>AKBAR WALADI</t>
  </si>
  <si>
    <t>IMANUL ANGGA</t>
  </si>
  <si>
    <t>PC KID</t>
  </si>
  <si>
    <t>NITA AMALIA</t>
  </si>
  <si>
    <t>FIKRI HERIANSYAH</t>
  </si>
  <si>
    <t>BIMO WICAKSONO</t>
  </si>
  <si>
    <t>AGUNG SYAFAAT</t>
  </si>
  <si>
    <t>COREL</t>
  </si>
  <si>
    <t>ARIF RAHMAN MUSLIM</t>
  </si>
  <si>
    <t>PHOTO SHOP</t>
  </si>
  <si>
    <t>NADIA WULANDARI</t>
  </si>
  <si>
    <t>ACCESS</t>
  </si>
  <si>
    <t>NOVIA LORENTA</t>
  </si>
  <si>
    <t>AUTO CAD</t>
  </si>
  <si>
    <t>FAJRI HARTANTO</t>
  </si>
  <si>
    <t>RENE CRISTIAN TUMENGKOL</t>
  </si>
  <si>
    <t>GMO 1</t>
  </si>
  <si>
    <t>YUDHA DERI PRATAMA</t>
  </si>
  <si>
    <t>RIZAL YANUAR</t>
  </si>
  <si>
    <t>GMO 2</t>
  </si>
  <si>
    <t>CIRI WATAKNYA</t>
  </si>
  <si>
    <t>MINGGU</t>
  </si>
  <si>
    <t>PERIANG, CENTIL,RINGAN TANGAN, KHARISMATIK</t>
  </si>
  <si>
    <t>SENIN</t>
  </si>
  <si>
    <t>JUJUR, TEGAS, PENOLONG</t>
  </si>
  <si>
    <t>SELASA</t>
  </si>
  <si>
    <t>KADANG MUNAFIK, KERAS KEPALA</t>
  </si>
  <si>
    <t>RABU</t>
  </si>
  <si>
    <t>PENOLONG, TEGAS, TIDAK SABARAN</t>
  </si>
  <si>
    <t>KAMIS</t>
  </si>
  <si>
    <t>PEMARAH, KERAS HATI, SUKA DIPUJI</t>
  </si>
  <si>
    <t>JUMAT</t>
  </si>
  <si>
    <t>PERIANG, RAMAH, DAN CERDAS</t>
  </si>
  <si>
    <t>SABTU</t>
  </si>
  <si>
    <t>SULIT DITEBAK, ANGIN-ANGINAN, KERAS DALAM BERJUANG</t>
  </si>
  <si>
    <t xml:space="preserve">Tanggal Test </t>
  </si>
  <si>
    <t>GAJI KARYAWAN</t>
  </si>
  <si>
    <t xml:space="preserve">PT. MUTIARA INDAH </t>
  </si>
  <si>
    <t>NIP</t>
  </si>
  <si>
    <t>PANGKAT</t>
  </si>
  <si>
    <t>GAJI KOTOR</t>
  </si>
  <si>
    <t>JUMLAH POTONGAN</t>
  </si>
  <si>
    <t>GAJI BERSIH</t>
  </si>
  <si>
    <t>HARI KERJA</t>
  </si>
  <si>
    <t>JAM LEMBUR</t>
  </si>
  <si>
    <t>OBAT</t>
  </si>
  <si>
    <t xml:space="preserve">UANG MAKAN </t>
  </si>
  <si>
    <t>TRANSPORT</t>
  </si>
  <si>
    <t>UANG LEMBUR</t>
  </si>
  <si>
    <t>ASKES</t>
  </si>
  <si>
    <t>PENSIUN</t>
  </si>
  <si>
    <t>PAJAK</t>
  </si>
  <si>
    <t>DAVID PRAKOSA</t>
  </si>
  <si>
    <t>CC</t>
  </si>
  <si>
    <t>DINA SAHRULEKHA</t>
  </si>
  <si>
    <t>SPV-9</t>
  </si>
  <si>
    <t>DANIEL BEDINGFIELD</t>
  </si>
  <si>
    <t>SC-6</t>
  </si>
  <si>
    <t>RONAN KEATING</t>
  </si>
  <si>
    <t>SHANIA TWAIN</t>
  </si>
  <si>
    <t>SPV-8</t>
  </si>
  <si>
    <t>BRIAN MC KNIGHT</t>
  </si>
  <si>
    <t>CHRISTINA</t>
  </si>
  <si>
    <t>DORA</t>
  </si>
  <si>
    <t>SC-7</t>
  </si>
  <si>
    <t>BARBARA</t>
  </si>
  <si>
    <t>CELSI</t>
  </si>
  <si>
    <t xml:space="preserve">GAJI POKOK </t>
  </si>
  <si>
    <t>TRAVEL BEBAS HAMBATAN</t>
  </si>
  <si>
    <t>JL. TERUS NO.3 ANTAH BERANTAH</t>
  </si>
  <si>
    <t>TABEL 1 (VLOOKUP)</t>
  </si>
  <si>
    <t>JURUSAN</t>
  </si>
  <si>
    <t>TARIF</t>
  </si>
  <si>
    <t>PD-JK</t>
  </si>
  <si>
    <t>PADANG - JAKARTA</t>
  </si>
  <si>
    <t>YG-PD</t>
  </si>
  <si>
    <t>YOGYA - PADANG</t>
  </si>
  <si>
    <t>SB-PD</t>
  </si>
  <si>
    <t>SURABAYA - PADANG</t>
  </si>
  <si>
    <t>MD-PD</t>
  </si>
  <si>
    <t>MEDAN - PADANG</t>
  </si>
  <si>
    <t>TABEL 2 (HLOOKUP)</t>
  </si>
  <si>
    <t>GD</t>
  </si>
  <si>
    <t>SM</t>
  </si>
  <si>
    <t>MT</t>
  </si>
  <si>
    <t>BQ</t>
  </si>
  <si>
    <t>JENIS PESAWAT</t>
  </si>
  <si>
    <t>GARUDA</t>
  </si>
  <si>
    <t>SIMPATI</t>
  </si>
  <si>
    <t>MERPATI</t>
  </si>
  <si>
    <t>BURAQ</t>
  </si>
  <si>
    <t>LAPORAN PENERBANGAN</t>
  </si>
  <si>
    <t>NAMA PENUMPANG</t>
  </si>
  <si>
    <t>HARGA TIKET</t>
  </si>
  <si>
    <t>BONUS</t>
  </si>
  <si>
    <t>PD-JK-010-GD</t>
  </si>
  <si>
    <t>AGUSTIAN RIFAI</t>
  </si>
  <si>
    <t>YG-PD-030-SM</t>
  </si>
  <si>
    <t>BAMBANG HERLAMBANG</t>
  </si>
  <si>
    <t>SB-PD-020-GD</t>
  </si>
  <si>
    <t>CINDY PATRICIA</t>
  </si>
  <si>
    <t>MD-PD-020-BQ</t>
  </si>
  <si>
    <t>DANANG SANGKA BUANA</t>
  </si>
  <si>
    <t>ELIS SURYANI</t>
  </si>
  <si>
    <t>FERRY JO</t>
  </si>
  <si>
    <t>GEMBERIALDO</t>
  </si>
  <si>
    <t>HARRY ADI PRAJA</t>
  </si>
  <si>
    <t xml:space="preserve">LAPORAN PENJUALAN BARANG </t>
  </si>
  <si>
    <t>PT. PERMATA PURI</t>
  </si>
  <si>
    <t>Bulan : Oktober 2005</t>
  </si>
  <si>
    <t>TANGGAL PENJUALAN</t>
  </si>
  <si>
    <t>JUMLAH PENJUALAN</t>
  </si>
  <si>
    <t>HARGA BARANG</t>
  </si>
  <si>
    <t>TOTAL PEMASUKAN</t>
  </si>
  <si>
    <t>QUARTO</t>
  </si>
  <si>
    <t>B.INGGRIS</t>
  </si>
  <si>
    <t>BOXY</t>
  </si>
  <si>
    <t>EKONOMI</t>
  </si>
  <si>
    <t>PILOT</t>
  </si>
  <si>
    <t>FOLIO</t>
  </si>
  <si>
    <t>KOMPUTER</t>
  </si>
  <si>
    <t>B.JEPANG</t>
  </si>
  <si>
    <t>BUKU</t>
  </si>
  <si>
    <t>ATS</t>
  </si>
  <si>
    <t>BKU</t>
  </si>
  <si>
    <t>KTR</t>
  </si>
  <si>
    <t>ALAT TULIS</t>
  </si>
  <si>
    <t>KERTAS</t>
  </si>
  <si>
    <t>B.INDONESIA</t>
  </si>
  <si>
    <t>AKUNTANSI</t>
  </si>
  <si>
    <t>AGENDA</t>
  </si>
  <si>
    <t>LAPORAN PENJUALAN BARANG TOKO ALAM RAYA</t>
  </si>
  <si>
    <t>JL. NUSANTARA RAYA NO. 23 BEKASI TIMUR</t>
  </si>
  <si>
    <t>Harga Satuan/kg</t>
  </si>
  <si>
    <t>Keuntungan/kg</t>
  </si>
  <si>
    <t>BRSR</t>
  </si>
  <si>
    <t>Beras Setra Ramos</t>
  </si>
  <si>
    <t>BRPW</t>
  </si>
  <si>
    <t>Beras Pandan Sari</t>
  </si>
  <si>
    <t>Tabel 2</t>
  </si>
  <si>
    <t>GLTS</t>
  </si>
  <si>
    <t>Gula Diet Tropi Kana Slim</t>
  </si>
  <si>
    <t>TPTK</t>
  </si>
  <si>
    <t>TPTG</t>
  </si>
  <si>
    <t>KPKA</t>
  </si>
  <si>
    <t>KPGT</t>
  </si>
  <si>
    <t>Sagu Tropi Kana</t>
  </si>
  <si>
    <t>Jenis</t>
  </si>
  <si>
    <t>Beras</t>
  </si>
  <si>
    <t>Gula</t>
  </si>
  <si>
    <t>Tepung</t>
  </si>
  <si>
    <t>Kopi</t>
  </si>
  <si>
    <t>Terigu Segatiga Biru</t>
  </si>
  <si>
    <t>Kopi Kapal Api</t>
  </si>
  <si>
    <t>Kopi Glatik</t>
  </si>
  <si>
    <t>Bulan Oktober 2005</t>
  </si>
  <si>
    <t>No. Barang</t>
  </si>
  <si>
    <t>Tgl Penjualan</t>
  </si>
  <si>
    <t>Jml Penjualan</t>
  </si>
  <si>
    <t>Total Harga</t>
  </si>
  <si>
    <t>Keuntungan</t>
  </si>
  <si>
    <t>Sovenir</t>
  </si>
  <si>
    <t>Total Pembayaran</t>
  </si>
  <si>
    <t>Total Keuntungan</t>
  </si>
  <si>
    <t>Perintah</t>
  </si>
  <si>
    <t>gaji pokok diambil dari tabel bantu</t>
  </si>
  <si>
    <t xml:space="preserve">Tunjangan Obat </t>
  </si>
  <si>
    <t>1/6 dari gaji pokok</t>
  </si>
  <si>
    <t>Uang makan</t>
  </si>
  <si>
    <t>7500 dikali jumlah hari kerja</t>
  </si>
  <si>
    <t>transport</t>
  </si>
  <si>
    <t>15000 dikali jumlah hari kerja</t>
  </si>
  <si>
    <t>uang lembur</t>
  </si>
  <si>
    <t>85000 dikali jumlah lembur</t>
  </si>
  <si>
    <t>Askes</t>
  </si>
  <si>
    <t>Pensiun</t>
  </si>
  <si>
    <t>Jumlah Potongan</t>
  </si>
  <si>
    <t>1/5 dari gaji pokok</t>
  </si>
  <si>
    <t>1/8 dari gaji pokok</t>
  </si>
  <si>
    <t>2,5 % dari gaji pokok</t>
  </si>
  <si>
    <t>Askes + pensiun -pajak</t>
  </si>
  <si>
    <t>gaji  bersih</t>
  </si>
  <si>
    <t>gaji kotor - jumlah potongan</t>
  </si>
  <si>
    <t>kode lahir</t>
  </si>
  <si>
    <t>gunakan rumus weekday/tanggal lahir</t>
  </si>
  <si>
    <t>hari lahir</t>
  </si>
  <si>
    <t>berdasarkan tabel bantu</t>
  </si>
  <si>
    <t>ciri watak</t>
  </si>
  <si>
    <t>umur</t>
  </si>
  <si>
    <t>tanggal hari ini - tanggal hari lahir</t>
  </si>
  <si>
    <t>jurusan diambil dari tabel 1</t>
  </si>
  <si>
    <t>pesawat di ambil dari tabel 2</t>
  </si>
  <si>
    <t>kelas = jika kode 01 maka VIP, kode 02 maka bisnis dan kode 03 maka Ekonomi</t>
  </si>
  <si>
    <t>tarif diambil dari tabel 1</t>
  </si>
  <si>
    <t>diskon diambil dari tabel 2</t>
  </si>
  <si>
    <t>bonus = jika VIP atau Bisnis mendapatkan kaos sedangkan Ekonomi mendapatkan topi</t>
  </si>
  <si>
    <t>Total biaya = harga tiket - diskon</t>
  </si>
  <si>
    <t>ketentuan</t>
  </si>
  <si>
    <t>nama barang, harga barang dicari dengan (Vlokkup &amp;MID)</t>
  </si>
  <si>
    <t>jenis,discount,dicari dengan (Hlookup &amp; Left)</t>
  </si>
  <si>
    <t>total harga dicari dengan (jumlah penjual dikali dengan harga barang)</t>
  </si>
  <si>
    <t>total pemasukan dicari dengan (total harga dikali dengan discount)</t>
  </si>
  <si>
    <t>Nama barang, harga satuan, dan keuntungan diisi berdasarkan Tabel 1</t>
  </si>
  <si>
    <t>jika discount 10% maka mendapat sovenir "Mug Cantik"</t>
  </si>
  <si>
    <t>dan yang lainnya mendapatkan souvenir " Jam Tangan"</t>
  </si>
  <si>
    <t>jika discount 5% maka mendapat souvenir "Poster Doraemon"</t>
  </si>
  <si>
    <t>Total Pembayaran = total harga dikurangi keuntungan</t>
  </si>
  <si>
    <t>Total keuntungan = keuntungan dikali jumlah penjualan</t>
  </si>
  <si>
    <t>Keuntungan discount dikali Total Harga</t>
  </si>
  <si>
    <t xml:space="preserve">Souvenir </t>
  </si>
  <si>
    <t>Total harga didapat dari harga satuan dikali jumlah pnejualan</t>
  </si>
  <si>
    <t>Jenis dan discount diisi berdasarkan tabel 2</t>
  </si>
  <si>
    <t>FL</t>
  </si>
  <si>
    <t xml:space="preserve"> </t>
  </si>
  <si>
    <t>POTONGAN DISKON</t>
  </si>
  <si>
    <t>TOTALHARGA</t>
  </si>
  <si>
    <t>BKU-AG-01</t>
  </si>
  <si>
    <t>AG</t>
  </si>
  <si>
    <t>KTR-QT-02</t>
  </si>
  <si>
    <t>BKU-BI-03</t>
  </si>
  <si>
    <t>ATS-BO-04</t>
  </si>
  <si>
    <t>BKU-EK-05</t>
  </si>
  <si>
    <t>ATS-PL-06</t>
  </si>
  <si>
    <t>KTR-FL-07</t>
  </si>
  <si>
    <t>BKU-KO-08</t>
  </si>
  <si>
    <t>BKU-BH-09</t>
  </si>
  <si>
    <t>ATS-BO-10</t>
  </si>
  <si>
    <t>ATS-PL-11</t>
  </si>
  <si>
    <t>BKU-TL-12</t>
  </si>
  <si>
    <t>BKU-TL-13</t>
  </si>
  <si>
    <t>BKU-EK-14</t>
  </si>
  <si>
    <t>ATS-PL-15</t>
  </si>
  <si>
    <t>KO</t>
  </si>
  <si>
    <t>BI</t>
  </si>
  <si>
    <t>BH</t>
  </si>
  <si>
    <t>EK</t>
  </si>
  <si>
    <t>AK</t>
  </si>
  <si>
    <t>BO</t>
  </si>
  <si>
    <t>PL</t>
  </si>
  <si>
    <t>QT</t>
  </si>
  <si>
    <t>TL</t>
  </si>
  <si>
    <t>Jika Nilai rata-rata &lt;= 89 maka nilai Huruf = B</t>
  </si>
  <si>
    <t>Jika Nilai rata-rata &lt; =85 maka nilai Huruf = C</t>
  </si>
  <si>
    <t>Jika Nilai rata-rata &lt; =74 maka nilai Huruf = D</t>
  </si>
  <si>
    <t>Jika Nilai rata-rata &lt; =60 maka nilai Huruf =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</si>
</sst>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&quot;Rp&quot;#,##0.00_);[Red]\(&quot;Rp&quot;#,##0.00\)"/>
    <numFmt numFmtId="165" formatCode="_(&quot;Rp&quot;* #,##0_);_(&quot;Rp&quot;* \(#,##0\);_(&quot;Rp&quot;* &quot;-&quot;_);_(@_)"/>
    <numFmt numFmtId="166" formatCode="_(&quot;Rp&quot;* #,##0.00_);_(&quot;Rp&quot;* \(#,##0.00\);_(&quot;Rp&quot;* &quot;-&quot;??_);_(@_)"/>
    <numFmt numFmtId="167" formatCode="[$-409]d\-mmm\-yy;@"/>
    <numFmt numFmtId="168" formatCode="[$-409]h:mm\ AM/PM;@"/>
    <numFmt numFmtId="169" formatCode="dd/mm/yyyy;@"/>
    <numFmt numFmtId="173" formatCode="_([$Rp-421]* #,##0.00_);_([$Rp-421]* \(#,##0.00\);_([$Rp-421]* &quot;-&quot;??_);_(@_)"/>
    <numFmt numFmtId="174" formatCode="0\ &quot;Hari&quot;"/>
    <numFmt numFmtId="175" formatCode="&quot;Rp&quot;#,##0"/>
    <numFmt numFmtId="176" formatCode="0\ &quot;hari&quot;"/>
    <numFmt numFmtId="177" formatCode="0\ &quot;Tahun&quot;"/>
    <numFmt numFmtId="178" formatCode="0\ &quot;Bulan&quot;"/>
    <numFmt numFmtId="179" formatCode="[$Rp-421]#,##0.00"/>
    <numFmt numFmtId="180" formatCode="_-[$Rp-421]* #,##0.00_-;\-[$Rp-421]* #,##0.00_-;_-[$Rp-421]* &quot;-&quot;??_-;_-@_-"/>
  </numFmts>
  <fonts count="63"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name val="Algerian"/>
      <family val="5"/>
    </font>
    <font>
      <i/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4"/>
      <name val="Brush Script MT"/>
      <family val="4"/>
    </font>
    <font>
      <sz val="16"/>
      <name val="BernhardFashion BT"/>
      <family val="5"/>
    </font>
    <font>
      <sz val="14"/>
      <name val="Bernard MT Condensed"/>
      <family val="1"/>
    </font>
    <font>
      <sz val="12"/>
      <name val="Arial Black"/>
      <family val="2"/>
    </font>
    <font>
      <sz val="20"/>
      <name val="Agency FB"/>
      <family val="2"/>
    </font>
    <font>
      <i/>
      <u/>
      <sz val="10"/>
      <name val="Arial"/>
      <family val="2"/>
    </font>
    <font>
      <sz val="10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2"/>
      <name val="Baskerville Old Face"/>
      <family val="1"/>
    </font>
    <font>
      <sz val="14"/>
      <name val="BankGothic Md BT"/>
      <family val="2"/>
    </font>
    <font>
      <u/>
      <sz val="12"/>
      <name val="Arial"/>
      <family val="2"/>
    </font>
    <font>
      <u/>
      <sz val="10"/>
      <name val="Arial"/>
      <family val="2"/>
    </font>
    <font>
      <sz val="14"/>
      <name val="Algerian"/>
      <family val="5"/>
    </font>
    <font>
      <sz val="16"/>
      <name val="Algerian"/>
      <family val="5"/>
    </font>
    <font>
      <b/>
      <sz val="12"/>
      <name val="Algerian"/>
      <family val="5"/>
    </font>
    <font>
      <b/>
      <sz val="12"/>
      <name val="Bernard MT Condensed"/>
      <family val="1"/>
    </font>
    <font>
      <b/>
      <sz val="12"/>
      <name val="Broadway"/>
      <family val="5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6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  <charset val="1"/>
    </font>
    <font>
      <b/>
      <sz val="16"/>
      <color indexed="8"/>
      <name val="Calibri"/>
      <family val="2"/>
      <charset val="1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3" tint="0.39997558519241921"/>
      <name val="Arial"/>
      <family val="2"/>
    </font>
    <font>
      <sz val="12"/>
      <color theme="3" tint="0.39997558519241921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0"/>
      <color rgb="FFFFFF00"/>
      <name val="Arial"/>
      <family val="2"/>
    </font>
    <font>
      <b/>
      <sz val="10"/>
      <color theme="0"/>
      <name val="Arial"/>
      <family val="2"/>
    </font>
    <font>
      <b/>
      <sz val="11"/>
      <color theme="7" tint="-0.249977111117893"/>
      <name val="Calibri"/>
      <family val="2"/>
    </font>
    <font>
      <b/>
      <sz val="11"/>
      <color theme="0"/>
      <name val="Calibri"/>
      <family val="2"/>
    </font>
    <font>
      <sz val="11"/>
      <color rgb="FFFFFF00"/>
      <name val="Calibri"/>
      <family val="2"/>
    </font>
    <font>
      <sz val="24"/>
      <color rgb="FFC00000"/>
      <name val="Arial"/>
      <family val="2"/>
    </font>
    <font>
      <sz val="14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b/>
      <sz val="24"/>
      <color theme="1"/>
      <name val="Calibri"/>
      <family val="2"/>
      <scheme val="minor"/>
    </font>
    <font>
      <b/>
      <sz val="20"/>
      <color rgb="FF0070C0"/>
      <name val="Calibri"/>
      <family val="2"/>
    </font>
    <font>
      <sz val="14"/>
      <color rgb="FF0070C0"/>
      <name val="Calibri"/>
      <family val="2"/>
    </font>
    <font>
      <b/>
      <sz val="14"/>
      <color theme="5" tint="-0.249977111117893"/>
      <name val="Calibri"/>
      <family val="2"/>
    </font>
    <font>
      <b/>
      <sz val="16"/>
      <color theme="5" tint="-0.249977111117893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56"/>
      </right>
      <top style="medium">
        <color indexed="64"/>
      </top>
      <bottom style="double">
        <color indexed="64"/>
      </bottom>
      <diagonal/>
    </border>
    <border>
      <left/>
      <right style="medium">
        <color indexed="56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56"/>
      </right>
      <top style="double">
        <color indexed="64"/>
      </top>
      <bottom style="dashed">
        <color indexed="56"/>
      </bottom>
      <diagonal/>
    </border>
    <border>
      <left/>
      <right style="medium">
        <color indexed="64"/>
      </right>
      <top style="double">
        <color indexed="64"/>
      </top>
      <bottom style="dashed">
        <color indexed="56"/>
      </bottom>
      <diagonal/>
    </border>
    <border>
      <left style="medium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/>
      <right style="medium">
        <color indexed="56"/>
      </right>
      <top style="dashed">
        <color indexed="56"/>
      </top>
      <bottom style="dashed">
        <color indexed="56"/>
      </bottom>
      <diagonal/>
    </border>
    <border>
      <left/>
      <right style="medium">
        <color indexed="64"/>
      </right>
      <top style="dashed">
        <color indexed="56"/>
      </top>
      <bottom style="dashed">
        <color indexed="56"/>
      </bottom>
      <diagonal/>
    </border>
    <border>
      <left/>
      <right style="medium">
        <color indexed="56"/>
      </right>
      <top/>
      <bottom style="medium">
        <color indexed="64"/>
      </bottom>
      <diagonal/>
    </border>
    <border>
      <left style="medium">
        <color indexed="56"/>
      </left>
      <right/>
      <top style="medium">
        <color indexed="56"/>
      </top>
      <bottom style="double">
        <color indexed="56"/>
      </bottom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double">
        <color indexed="56"/>
      </bottom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medium">
        <color indexed="56"/>
      </left>
      <right style="medium">
        <color indexed="56"/>
      </right>
      <top/>
      <bottom/>
      <diagonal/>
    </border>
    <border>
      <left/>
      <right style="medium">
        <color indexed="56"/>
      </right>
      <top style="medium">
        <color indexed="56"/>
      </top>
      <bottom style="medium">
        <color indexed="56"/>
      </bottom>
      <diagonal/>
    </border>
    <border>
      <left/>
      <right style="medium">
        <color indexed="56"/>
      </right>
      <top/>
      <bottom/>
      <diagonal/>
    </border>
    <border>
      <left style="medium">
        <color indexed="56"/>
      </left>
      <right/>
      <top style="double">
        <color indexed="56"/>
      </top>
      <bottom style="medium">
        <color indexed="56"/>
      </bottom>
      <diagonal/>
    </border>
    <border>
      <left style="medium">
        <color indexed="56"/>
      </left>
      <right/>
      <top/>
      <bottom/>
      <diagonal/>
    </border>
    <border>
      <left style="medium">
        <color indexed="56"/>
      </left>
      <right/>
      <top style="medium">
        <color indexed="56"/>
      </top>
      <bottom style="medium">
        <color indexed="56"/>
      </bottom>
      <diagonal/>
    </border>
    <border>
      <left style="medium">
        <color indexed="64"/>
      </left>
      <right style="medium">
        <color indexed="56"/>
      </right>
      <top style="double">
        <color indexed="64"/>
      </top>
      <bottom/>
      <diagonal/>
    </border>
    <border>
      <left/>
      <right/>
      <top style="dotted">
        <color indexed="56"/>
      </top>
      <bottom style="dotted">
        <color indexed="56"/>
      </bottom>
      <diagonal/>
    </border>
    <border>
      <left style="medium">
        <color indexed="64"/>
      </left>
      <right style="medium">
        <color indexed="56"/>
      </right>
      <top/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64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64"/>
      </left>
      <right style="medium">
        <color indexed="56"/>
      </right>
      <top/>
      <bottom style="medium">
        <color indexed="64"/>
      </bottom>
      <diagonal/>
    </border>
    <border>
      <left style="medium">
        <color indexed="56"/>
      </left>
      <right style="medium">
        <color indexed="56"/>
      </right>
      <top style="double">
        <color indexed="56"/>
      </top>
      <bottom style="medium">
        <color indexed="56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1" fillId="0" borderId="0" xfId="0" applyFont="1"/>
    <xf numFmtId="0" fontId="11" fillId="0" borderId="1" xfId="0" applyFont="1" applyBorder="1"/>
    <xf numFmtId="165" fontId="11" fillId="0" borderId="1" xfId="0" applyNumberFormat="1" applyFont="1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5" xfId="0" applyFont="1" applyBorder="1"/>
    <xf numFmtId="0" fontId="7" fillId="0" borderId="8" xfId="0" applyFont="1" applyBorder="1"/>
    <xf numFmtId="0" fontId="0" fillId="0" borderId="8" xfId="0" applyBorder="1" applyAlignment="1">
      <alignment horizontal="center"/>
    </xf>
    <xf numFmtId="0" fontId="0" fillId="0" borderId="11" xfId="0" applyBorder="1"/>
    <xf numFmtId="0" fontId="19" fillId="0" borderId="0" xfId="0" applyFont="1"/>
    <xf numFmtId="0" fontId="20" fillId="0" borderId="0" xfId="0" applyFont="1"/>
    <xf numFmtId="0" fontId="11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5" fontId="0" fillId="0" borderId="15" xfId="0" applyNumberFormat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7" fillId="0" borderId="17" xfId="0" applyFont="1" applyBorder="1"/>
    <xf numFmtId="0" fontId="0" fillId="0" borderId="17" xfId="0" applyBorder="1" applyAlignment="1">
      <alignment horizontal="center"/>
    </xf>
    <xf numFmtId="0" fontId="7" fillId="0" borderId="9" xfId="0" applyFont="1" applyBorder="1"/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/>
    <xf numFmtId="0" fontId="25" fillId="0" borderId="0" xfId="0" applyFont="1"/>
    <xf numFmtId="0" fontId="0" fillId="0" borderId="0" xfId="0" applyAlignment="1">
      <alignment horizontal="center" vertical="center" wrapText="1"/>
    </xf>
    <xf numFmtId="15" fontId="8" fillId="0" borderId="0" xfId="0" applyNumberFormat="1" applyFont="1"/>
    <xf numFmtId="0" fontId="8" fillId="0" borderId="1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0" fillId="0" borderId="17" xfId="0" applyFont="1" applyBorder="1" applyAlignment="1">
      <alignment horizontal="center"/>
    </xf>
    <xf numFmtId="167" fontId="0" fillId="0" borderId="0" xfId="0" applyNumberFormat="1"/>
    <xf numFmtId="0" fontId="0" fillId="0" borderId="0" xfId="0" quotePrefix="1"/>
    <xf numFmtId="0" fontId="0" fillId="0" borderId="21" xfId="0" applyBorder="1"/>
    <xf numFmtId="0" fontId="0" fillId="0" borderId="22" xfId="0" applyBorder="1"/>
    <xf numFmtId="0" fontId="27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2" fillId="0" borderId="0" xfId="0" applyFont="1" applyAlignment="1">
      <alignment horizontal="center"/>
    </xf>
    <xf numFmtId="0" fontId="35" fillId="0" borderId="0" xfId="0" applyFont="1"/>
    <xf numFmtId="0" fontId="36" fillId="0" borderId="0" xfId="0" applyFont="1"/>
    <xf numFmtId="0" fontId="0" fillId="0" borderId="0" xfId="0" applyAlignment="1">
      <alignment horizontal="center" vertical="center"/>
    </xf>
    <xf numFmtId="0" fontId="37" fillId="0" borderId="0" xfId="0" applyFont="1" applyAlignment="1">
      <alignment vertical="top"/>
    </xf>
    <xf numFmtId="0" fontId="41" fillId="0" borderId="0" xfId="0" applyFont="1"/>
    <xf numFmtId="0" fontId="37" fillId="0" borderId="0" xfId="0" applyFont="1"/>
    <xf numFmtId="9" fontId="0" fillId="0" borderId="5" xfId="0" applyNumberFormat="1" applyBorder="1" applyAlignment="1">
      <alignment horizontal="center" vertical="distributed"/>
    </xf>
    <xf numFmtId="0" fontId="0" fillId="0" borderId="0" xfId="0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/>
    <xf numFmtId="165" fontId="4" fillId="5" borderId="30" xfId="0" applyNumberFormat="1" applyFont="1" applyFill="1" applyBorder="1"/>
    <xf numFmtId="0" fontId="4" fillId="5" borderId="30" xfId="0" applyFont="1" applyFill="1" applyBorder="1" applyAlignment="1">
      <alignment horizontal="center" vertical="center" wrapText="1"/>
    </xf>
    <xf numFmtId="165" fontId="4" fillId="5" borderId="31" xfId="0" applyNumberFormat="1" applyFont="1" applyFill="1" applyBorder="1"/>
    <xf numFmtId="0" fontId="4" fillId="5" borderId="29" xfId="0" applyFont="1" applyFill="1" applyBorder="1" applyAlignment="1">
      <alignment horizontal="center"/>
    </xf>
    <xf numFmtId="0" fontId="4" fillId="5" borderId="11" xfId="0" applyFont="1" applyFill="1" applyBorder="1"/>
    <xf numFmtId="0" fontId="4" fillId="5" borderId="32" xfId="0" applyFont="1" applyFill="1" applyBorder="1"/>
    <xf numFmtId="0" fontId="4" fillId="5" borderId="0" xfId="0" applyFont="1" applyFill="1"/>
    <xf numFmtId="0" fontId="4" fillId="5" borderId="3" xfId="0" applyFont="1" applyFill="1" applyBorder="1"/>
    <xf numFmtId="0" fontId="4" fillId="5" borderId="33" xfId="0" applyFont="1" applyFill="1" applyBorder="1"/>
    <xf numFmtId="0" fontId="4" fillId="5" borderId="34" xfId="0" applyFont="1" applyFill="1" applyBorder="1"/>
    <xf numFmtId="165" fontId="4" fillId="5" borderId="35" xfId="0" applyNumberFormat="1" applyFont="1" applyFill="1" applyBorder="1"/>
    <xf numFmtId="0" fontId="2" fillId="6" borderId="30" xfId="0" applyFont="1" applyFill="1" applyBorder="1" applyAlignment="1">
      <alignment horizontal="center"/>
    </xf>
    <xf numFmtId="0" fontId="0" fillId="7" borderId="30" xfId="0" applyFill="1" applyBorder="1" applyAlignment="1">
      <alignment horizontal="left" vertical="center"/>
    </xf>
    <xf numFmtId="165" fontId="0" fillId="7" borderId="30" xfId="0" applyNumberFormat="1" applyFill="1" applyBorder="1" applyAlignment="1">
      <alignment horizontal="center"/>
    </xf>
    <xf numFmtId="0" fontId="2" fillId="6" borderId="36" xfId="0" applyFont="1" applyFill="1" applyBorder="1" applyAlignment="1">
      <alignment horizontal="center" textRotation="90"/>
    </xf>
    <xf numFmtId="0" fontId="2" fillId="6" borderId="36" xfId="0" applyFont="1" applyFill="1" applyBorder="1" applyAlignment="1">
      <alignment horizontal="left" vertical="center"/>
    </xf>
    <xf numFmtId="0" fontId="0" fillId="6" borderId="30" xfId="0" applyFill="1" applyBorder="1"/>
    <xf numFmtId="0" fontId="2" fillId="6" borderId="37" xfId="0" applyFont="1" applyFill="1" applyBorder="1" applyAlignment="1">
      <alignment horizontal="left" vertical="center"/>
    </xf>
    <xf numFmtId="0" fontId="0" fillId="6" borderId="38" xfId="0" applyFill="1" applyBorder="1"/>
    <xf numFmtId="0" fontId="2" fillId="8" borderId="39" xfId="0" applyFont="1" applyFill="1" applyBorder="1" applyAlignment="1">
      <alignment horizontal="center" vertical="center" wrapText="1"/>
    </xf>
    <xf numFmtId="0" fontId="7" fillId="9" borderId="17" xfId="0" applyFont="1" applyFill="1" applyBorder="1"/>
    <xf numFmtId="165" fontId="0" fillId="9" borderId="17" xfId="0" applyNumberFormat="1" applyFill="1" applyBorder="1" applyAlignment="1">
      <alignment horizontal="center"/>
    </xf>
    <xf numFmtId="0" fontId="7" fillId="9" borderId="5" xfId="0" applyFont="1" applyFill="1" applyBorder="1"/>
    <xf numFmtId="165" fontId="0" fillId="9" borderId="5" xfId="0" applyNumberFormat="1" applyFill="1" applyBorder="1" applyAlignment="1">
      <alignment horizontal="center"/>
    </xf>
    <xf numFmtId="0" fontId="7" fillId="9" borderId="39" xfId="0" applyFont="1" applyFill="1" applyBorder="1"/>
    <xf numFmtId="165" fontId="0" fillId="9" borderId="39" xfId="0" applyNumberFormat="1" applyFill="1" applyBorder="1" applyAlignment="1">
      <alignment horizontal="center"/>
    </xf>
    <xf numFmtId="0" fontId="2" fillId="9" borderId="22" xfId="0" applyFont="1" applyFill="1" applyBorder="1"/>
    <xf numFmtId="0" fontId="0" fillId="9" borderId="1" xfId="0" applyFill="1" applyBorder="1"/>
    <xf numFmtId="0" fontId="0" fillId="9" borderId="2" xfId="0" applyFill="1" applyBorder="1"/>
    <xf numFmtId="0" fontId="2" fillId="9" borderId="40" xfId="0" applyFont="1" applyFill="1" applyBorder="1"/>
    <xf numFmtId="0" fontId="0" fillId="9" borderId="10" xfId="0" applyFill="1" applyBorder="1"/>
    <xf numFmtId="0" fontId="0" fillId="9" borderId="29" xfId="0" applyFill="1" applyBorder="1"/>
    <xf numFmtId="0" fontId="0" fillId="0" borderId="5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10" borderId="5" xfId="0" applyFill="1" applyBorder="1" applyAlignment="1">
      <alignment horizontal="left"/>
    </xf>
    <xf numFmtId="165" fontId="0" fillId="0" borderId="5" xfId="0" applyNumberFormat="1" applyBorder="1"/>
    <xf numFmtId="0" fontId="44" fillId="11" borderId="5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11" fillId="12" borderId="4" xfId="0" applyFont="1" applyFill="1" applyBorder="1"/>
    <xf numFmtId="0" fontId="11" fillId="12" borderId="41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11" fillId="12" borderId="42" xfId="0" applyFont="1" applyFill="1" applyBorder="1" applyAlignment="1">
      <alignment horizontal="center"/>
    </xf>
    <xf numFmtId="0" fontId="11" fillId="13" borderId="5" xfId="0" applyFont="1" applyFill="1" applyBorder="1"/>
    <xf numFmtId="0" fontId="11" fillId="13" borderId="5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12" borderId="5" xfId="0" applyFont="1" applyFill="1" applyBorder="1"/>
    <xf numFmtId="0" fontId="11" fillId="12" borderId="7" xfId="0" applyFont="1" applyFill="1" applyBorder="1"/>
    <xf numFmtId="0" fontId="11" fillId="12" borderId="8" xfId="0" applyFont="1" applyFill="1" applyBorder="1"/>
    <xf numFmtId="0" fontId="11" fillId="8" borderId="43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165" fontId="45" fillId="0" borderId="0" xfId="0" applyNumberFormat="1" applyFont="1"/>
    <xf numFmtId="165" fontId="46" fillId="0" borderId="0" xfId="0" applyNumberFormat="1" applyFont="1"/>
    <xf numFmtId="0" fontId="0" fillId="14" borderId="24" xfId="0" applyFill="1" applyBorder="1" applyAlignment="1">
      <alignment horizontal="center" vertical="center" wrapText="1"/>
    </xf>
    <xf numFmtId="0" fontId="0" fillId="14" borderId="25" xfId="0" applyFill="1" applyBorder="1" applyAlignment="1">
      <alignment horizontal="center" vertical="center" wrapText="1"/>
    </xf>
    <xf numFmtId="0" fontId="0" fillId="10" borderId="23" xfId="0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44" xfId="0" applyFill="1" applyBorder="1"/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5" borderId="4" xfId="0" applyFill="1" applyBorder="1"/>
    <xf numFmtId="0" fontId="0" fillId="5" borderId="49" xfId="0" applyFill="1" applyBorder="1"/>
    <xf numFmtId="0" fontId="0" fillId="5" borderId="5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11" fillId="12" borderId="30" xfId="0" applyFont="1" applyFill="1" applyBorder="1"/>
    <xf numFmtId="0" fontId="11" fillId="9" borderId="30" xfId="0" applyFont="1" applyFill="1" applyBorder="1"/>
    <xf numFmtId="165" fontId="11" fillId="9" borderId="50" xfId="0" applyNumberFormat="1" applyFont="1" applyFill="1" applyBorder="1" applyAlignment="1">
      <alignment horizontal="center"/>
    </xf>
    <xf numFmtId="0" fontId="11" fillId="13" borderId="30" xfId="0" applyFont="1" applyFill="1" applyBorder="1" applyAlignment="1">
      <alignment horizontal="center" vertical="center" wrapText="1"/>
    </xf>
    <xf numFmtId="0" fontId="11" fillId="13" borderId="30" xfId="0" applyFont="1" applyFill="1" applyBorder="1" applyAlignment="1">
      <alignment horizontal="center"/>
    </xf>
    <xf numFmtId="165" fontId="11" fillId="13" borderId="30" xfId="0" applyNumberFormat="1" applyFont="1" applyFill="1" applyBorder="1" applyAlignment="1">
      <alignment horizontal="center"/>
    </xf>
    <xf numFmtId="165" fontId="11" fillId="13" borderId="50" xfId="0" applyNumberFormat="1" applyFont="1" applyFill="1" applyBorder="1" applyAlignment="1">
      <alignment horizontal="center"/>
    </xf>
    <xf numFmtId="0" fontId="11" fillId="13" borderId="30" xfId="0" applyFont="1" applyFill="1" applyBorder="1" applyAlignment="1">
      <alignment horizontal="center" vertical="center"/>
    </xf>
    <xf numFmtId="0" fontId="11" fillId="12" borderId="51" xfId="0" applyFont="1" applyFill="1" applyBorder="1"/>
    <xf numFmtId="0" fontId="11" fillId="12" borderId="11" xfId="0" applyFont="1" applyFill="1" applyBorder="1"/>
    <xf numFmtId="0" fontId="11" fillId="12" borderId="32" xfId="0" applyFont="1" applyFill="1" applyBorder="1"/>
    <xf numFmtId="0" fontId="11" fillId="12" borderId="22" xfId="0" applyFont="1" applyFill="1" applyBorder="1"/>
    <xf numFmtId="0" fontId="11" fillId="12" borderId="1" xfId="0" applyFont="1" applyFill="1" applyBorder="1"/>
    <xf numFmtId="0" fontId="11" fillId="12" borderId="2" xfId="0" applyFont="1" applyFill="1" applyBorder="1"/>
    <xf numFmtId="0" fontId="11" fillId="12" borderId="52" xfId="0" applyFont="1" applyFill="1" applyBorder="1"/>
    <xf numFmtId="0" fontId="11" fillId="18" borderId="53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vertical="center"/>
    </xf>
    <xf numFmtId="0" fontId="11" fillId="18" borderId="17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7" xfId="0" applyFont="1" applyFill="1" applyBorder="1" applyAlignment="1">
      <alignment horizontal="center" vertical="center" wrapText="1"/>
    </xf>
    <xf numFmtId="0" fontId="11" fillId="7" borderId="5" xfId="0" applyFont="1" applyFill="1" applyBorder="1"/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8" xfId="0" applyFont="1" applyFill="1" applyBorder="1"/>
    <xf numFmtId="0" fontId="11" fillId="7" borderId="8" xfId="0" applyFont="1" applyFill="1" applyBorder="1" applyAlignment="1">
      <alignment horizontal="center" vertical="center" wrapText="1"/>
    </xf>
    <xf numFmtId="165" fontId="47" fillId="0" borderId="0" xfId="0" applyNumberFormat="1" applyFont="1"/>
    <xf numFmtId="165" fontId="48" fillId="0" borderId="0" xfId="0" applyNumberFormat="1" applyFont="1" applyAlignment="1">
      <alignment horizontal="left"/>
    </xf>
    <xf numFmtId="0" fontId="11" fillId="20" borderId="54" xfId="0" applyFont="1" applyFill="1" applyBorder="1" applyAlignment="1">
      <alignment horizontal="center" vertical="center" wrapText="1"/>
    </xf>
    <xf numFmtId="0" fontId="11" fillId="20" borderId="55" xfId="0" applyFont="1" applyFill="1" applyBorder="1" applyAlignment="1">
      <alignment horizontal="center" vertical="center" wrapText="1"/>
    </xf>
    <xf numFmtId="0" fontId="11" fillId="20" borderId="56" xfId="0" applyFont="1" applyFill="1" applyBorder="1" applyAlignment="1">
      <alignment horizontal="center" vertical="center" wrapText="1"/>
    </xf>
    <xf numFmtId="0" fontId="11" fillId="21" borderId="17" xfId="0" applyFont="1" applyFill="1" applyBorder="1" applyAlignment="1">
      <alignment horizontal="center"/>
    </xf>
    <xf numFmtId="0" fontId="11" fillId="21" borderId="5" xfId="0" applyFont="1" applyFill="1" applyBorder="1" applyAlignment="1">
      <alignment horizontal="center"/>
    </xf>
    <xf numFmtId="0" fontId="11" fillId="21" borderId="8" xfId="0" applyFont="1" applyFill="1" applyBorder="1" applyAlignment="1">
      <alignment horizontal="center"/>
    </xf>
    <xf numFmtId="0" fontId="11" fillId="22" borderId="17" xfId="0" applyFont="1" applyFill="1" applyBorder="1" applyAlignment="1">
      <alignment horizontal="center"/>
    </xf>
    <xf numFmtId="0" fontId="11" fillId="22" borderId="5" xfId="0" applyFont="1" applyFill="1" applyBorder="1" applyAlignment="1">
      <alignment horizontal="center"/>
    </xf>
    <xf numFmtId="0" fontId="11" fillId="20" borderId="41" xfId="0" applyFont="1" applyFill="1" applyBorder="1" applyAlignment="1">
      <alignment horizontal="center"/>
    </xf>
    <xf numFmtId="0" fontId="11" fillId="20" borderId="4" xfId="0" applyFont="1" applyFill="1" applyBorder="1" applyAlignment="1">
      <alignment horizontal="center"/>
    </xf>
    <xf numFmtId="0" fontId="11" fillId="20" borderId="7" xfId="0" applyFont="1" applyFill="1" applyBorder="1" applyAlignment="1">
      <alignment horizontal="center"/>
    </xf>
    <xf numFmtId="0" fontId="10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165" fontId="0" fillId="0" borderId="60" xfId="0" applyNumberFormat="1" applyBorder="1" applyAlignment="1">
      <alignment horizontal="center" vertical="center" wrapText="1"/>
    </xf>
    <xf numFmtId="165" fontId="0" fillId="0" borderId="61" xfId="0" applyNumberFormat="1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165" fontId="0" fillId="0" borderId="25" xfId="0" applyNumberFormat="1" applyBorder="1" applyAlignment="1">
      <alignment horizontal="center" vertical="center" wrapText="1"/>
    </xf>
    <xf numFmtId="0" fontId="3" fillId="23" borderId="62" xfId="0" applyFont="1" applyFill="1" applyBorder="1" applyAlignment="1">
      <alignment horizontal="center" vertical="center" wrapText="1"/>
    </xf>
    <xf numFmtId="0" fontId="3" fillId="23" borderId="63" xfId="0" applyFont="1" applyFill="1" applyBorder="1" applyAlignment="1">
      <alignment horizontal="center" vertical="center" wrapText="1"/>
    </xf>
    <xf numFmtId="0" fontId="3" fillId="23" borderId="64" xfId="0" applyFont="1" applyFill="1" applyBorder="1" applyAlignment="1">
      <alignment horizontal="center" vertical="center" wrapText="1"/>
    </xf>
    <xf numFmtId="0" fontId="3" fillId="23" borderId="65" xfId="0" applyFont="1" applyFill="1" applyBorder="1" applyAlignment="1">
      <alignment horizontal="center" vertical="center" wrapText="1"/>
    </xf>
    <xf numFmtId="0" fontId="3" fillId="23" borderId="66" xfId="0" applyFont="1" applyFill="1" applyBorder="1" applyAlignment="1">
      <alignment horizontal="center" vertical="center" wrapText="1"/>
    </xf>
    <xf numFmtId="0" fontId="3" fillId="23" borderId="67" xfId="0" applyFont="1" applyFill="1" applyBorder="1" applyAlignment="1">
      <alignment horizontal="center" vertical="center" wrapText="1"/>
    </xf>
    <xf numFmtId="0" fontId="44" fillId="24" borderId="68" xfId="0" applyFont="1" applyFill="1" applyBorder="1" applyAlignment="1">
      <alignment horizontal="center" vertical="center" wrapText="1"/>
    </xf>
    <xf numFmtId="0" fontId="44" fillId="24" borderId="69" xfId="0" applyFont="1" applyFill="1" applyBorder="1" applyAlignment="1">
      <alignment horizontal="center" vertical="center" wrapText="1"/>
    </xf>
    <xf numFmtId="0" fontId="44" fillId="24" borderId="70" xfId="0" applyFont="1" applyFill="1" applyBorder="1" applyAlignment="1">
      <alignment horizontal="center" vertical="center" wrapText="1"/>
    </xf>
    <xf numFmtId="0" fontId="0" fillId="24" borderId="71" xfId="0" applyFill="1" applyBorder="1"/>
    <xf numFmtId="0" fontId="0" fillId="24" borderId="72" xfId="0" applyFill="1" applyBorder="1"/>
    <xf numFmtId="0" fontId="0" fillId="24" borderId="73" xfId="0" applyFill="1" applyBorder="1"/>
    <xf numFmtId="0" fontId="0" fillId="24" borderId="74" xfId="0" applyFill="1" applyBorder="1"/>
    <xf numFmtId="0" fontId="0" fillId="24" borderId="75" xfId="0" applyFill="1" applyBorder="1"/>
    <xf numFmtId="0" fontId="0" fillId="24" borderId="76" xfId="0" applyFill="1" applyBorder="1"/>
    <xf numFmtId="0" fontId="44" fillId="24" borderId="77" xfId="0" applyFont="1" applyFill="1" applyBorder="1"/>
    <xf numFmtId="0" fontId="44" fillId="24" borderId="78" xfId="0" applyFont="1" applyFill="1" applyBorder="1"/>
    <xf numFmtId="0" fontId="44" fillId="24" borderId="79" xfId="0" applyFont="1" applyFill="1" applyBorder="1"/>
    <xf numFmtId="0" fontId="44" fillId="24" borderId="80" xfId="0" applyFont="1" applyFill="1" applyBorder="1"/>
    <xf numFmtId="0" fontId="44" fillId="24" borderId="81" xfId="0" applyFont="1" applyFill="1" applyBorder="1"/>
    <xf numFmtId="0" fontId="44" fillId="24" borderId="82" xfId="0" applyFont="1" applyFill="1" applyBorder="1"/>
    <xf numFmtId="0" fontId="0" fillId="5" borderId="83" xfId="0" applyFill="1" applyBorder="1" applyAlignment="1">
      <alignment horizontal="center"/>
    </xf>
    <xf numFmtId="0" fontId="0" fillId="5" borderId="79" xfId="0" applyFill="1" applyBorder="1" applyAlignment="1">
      <alignment horizontal="center"/>
    </xf>
    <xf numFmtId="0" fontId="0" fillId="5" borderId="8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44" fillId="25" borderId="24" xfId="0" applyFont="1" applyFill="1" applyBorder="1" applyAlignment="1">
      <alignment horizontal="center"/>
    </xf>
    <xf numFmtId="0" fontId="44" fillId="25" borderId="25" xfId="0" applyFont="1" applyFill="1" applyBorder="1" applyAlignment="1">
      <alignment horizontal="center"/>
    </xf>
    <xf numFmtId="0" fontId="44" fillId="25" borderId="5" xfId="0" applyFont="1" applyFill="1" applyBorder="1" applyAlignment="1">
      <alignment horizontal="center"/>
    </xf>
    <xf numFmtId="0" fontId="44" fillId="25" borderId="6" xfId="0" applyFont="1" applyFill="1" applyBorder="1" applyAlignment="1">
      <alignment horizontal="center"/>
    </xf>
    <xf numFmtId="0" fontId="0" fillId="26" borderId="4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5" fontId="0" fillId="26" borderId="4" xfId="0" applyNumberFormat="1" applyFill="1" applyBorder="1" applyAlignment="1">
      <alignment horizontal="center" vertical="center" wrapText="1"/>
    </xf>
    <xf numFmtId="0" fontId="0" fillId="26" borderId="17" xfId="0" applyFill="1" applyBorder="1" applyAlignment="1">
      <alignment horizontal="center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44" fillId="25" borderId="87" xfId="0" applyFont="1" applyFill="1" applyBorder="1" applyAlignment="1">
      <alignment horizontal="center"/>
    </xf>
    <xf numFmtId="0" fontId="44" fillId="25" borderId="53" xfId="0" applyFont="1" applyFill="1" applyBorder="1" applyAlignment="1">
      <alignment horizontal="center"/>
    </xf>
    <xf numFmtId="0" fontId="44" fillId="25" borderId="41" xfId="0" applyFont="1" applyFill="1" applyBorder="1" applyAlignment="1">
      <alignment horizontal="center"/>
    </xf>
    <xf numFmtId="0" fontId="44" fillId="25" borderId="17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/>
    <xf numFmtId="3" fontId="0" fillId="13" borderId="5" xfId="0" applyNumberFormat="1" applyFill="1" applyBorder="1"/>
    <xf numFmtId="9" fontId="0" fillId="13" borderId="6" xfId="0" applyNumberFormat="1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/>
    <xf numFmtId="3" fontId="0" fillId="13" borderId="8" xfId="0" applyNumberFormat="1" applyFill="1" applyBorder="1"/>
    <xf numFmtId="9" fontId="0" fillId="13" borderId="20" xfId="0" applyNumberFormat="1" applyFill="1" applyBorder="1" applyAlignment="1">
      <alignment horizontal="center"/>
    </xf>
    <xf numFmtId="0" fontId="0" fillId="14" borderId="23" xfId="0" applyFill="1" applyBorder="1" applyAlignment="1">
      <alignment horizontal="center" vertical="center" shrinkToFit="1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165" fontId="0" fillId="5" borderId="6" xfId="0" applyNumberFormat="1" applyFill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/>
    <xf numFmtId="165" fontId="0" fillId="5" borderId="20" xfId="0" applyNumberFormat="1" applyFill="1" applyBorder="1"/>
    <xf numFmtId="0" fontId="0" fillId="14" borderId="50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 wrapText="1"/>
    </xf>
    <xf numFmtId="0" fontId="0" fillId="14" borderId="88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7" xfId="0" applyFill="1" applyBorder="1"/>
    <xf numFmtId="0" fontId="0" fillId="4" borderId="5" xfId="0" applyFill="1" applyBorder="1"/>
    <xf numFmtId="0" fontId="0" fillId="27" borderId="17" xfId="0" applyFill="1" applyBorder="1"/>
    <xf numFmtId="0" fontId="0" fillId="27" borderId="5" xfId="0" applyFill="1" applyBorder="1"/>
    <xf numFmtId="0" fontId="0" fillId="27" borderId="8" xfId="0" applyFill="1" applyBorder="1"/>
    <xf numFmtId="0" fontId="2" fillId="5" borderId="17" xfId="0" applyFont="1" applyFill="1" applyBorder="1" applyAlignment="1">
      <alignment horizontal="center"/>
    </xf>
    <xf numFmtId="0" fontId="0" fillId="4" borderId="15" xfId="0" applyFill="1" applyBorder="1"/>
    <xf numFmtId="0" fontId="0" fillId="16" borderId="4" xfId="0" applyFill="1" applyBorder="1" applyAlignment="1">
      <alignment horizontal="center"/>
    </xf>
    <xf numFmtId="0" fontId="0" fillId="16" borderId="49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2" fillId="19" borderId="30" xfId="0" applyFont="1" applyFill="1" applyBorder="1" applyAlignment="1">
      <alignment horizontal="center" vertical="center" wrapText="1"/>
    </xf>
    <xf numFmtId="0" fontId="0" fillId="7" borderId="30" xfId="0" applyFill="1" applyBorder="1"/>
    <xf numFmtId="3" fontId="0" fillId="7" borderId="30" xfId="0" applyNumberFormat="1" applyFill="1" applyBorder="1"/>
    <xf numFmtId="15" fontId="49" fillId="0" borderId="0" xfId="0" applyNumberFormat="1" applyFont="1"/>
    <xf numFmtId="0" fontId="8" fillId="4" borderId="5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88" xfId="0" applyFont="1" applyFill="1" applyBorder="1" applyAlignment="1">
      <alignment horizontal="center" vertical="center" wrapText="1"/>
    </xf>
    <xf numFmtId="0" fontId="8" fillId="28" borderId="41" xfId="0" applyFont="1" applyFill="1" applyBorder="1"/>
    <xf numFmtId="0" fontId="8" fillId="28" borderId="4" xfId="0" applyFont="1" applyFill="1" applyBorder="1"/>
    <xf numFmtId="0" fontId="8" fillId="28" borderId="49" xfId="0" applyFont="1" applyFill="1" applyBorder="1"/>
    <xf numFmtId="0" fontId="10" fillId="28" borderId="17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8" fillId="28" borderId="4" xfId="0" applyFont="1" applyFill="1" applyBorder="1" applyAlignment="1">
      <alignment horizontal="center"/>
    </xf>
    <xf numFmtId="0" fontId="8" fillId="28" borderId="7" xfId="0" applyFont="1" applyFill="1" applyBorder="1" applyAlignment="1">
      <alignment horizontal="center"/>
    </xf>
    <xf numFmtId="0" fontId="0" fillId="4" borderId="23" xfId="0" applyFill="1" applyBorder="1" applyAlignment="1">
      <alignment horizontal="center" vertical="center" wrapText="1"/>
    </xf>
    <xf numFmtId="0" fontId="0" fillId="27" borderId="24" xfId="0" quotePrefix="1" applyFill="1" applyBorder="1" applyAlignment="1">
      <alignment horizontal="center" vertical="center" wrapText="1"/>
    </xf>
    <xf numFmtId="0" fontId="0" fillId="27" borderId="24" xfId="0" quotePrefix="1" applyFill="1" applyBorder="1" applyAlignment="1">
      <alignment horizontal="center" vertical="center"/>
    </xf>
    <xf numFmtId="0" fontId="0" fillId="27" borderId="25" xfId="0" quotePrefix="1" applyFill="1" applyBorder="1" applyAlignment="1">
      <alignment horizontal="center" vertical="center"/>
    </xf>
    <xf numFmtId="0" fontId="0" fillId="12" borderId="89" xfId="0" applyFill="1" applyBorder="1" applyAlignment="1">
      <alignment horizontal="center" vertical="center" wrapText="1"/>
    </xf>
    <xf numFmtId="0" fontId="0" fillId="12" borderId="90" xfId="0" applyFill="1" applyBorder="1" applyAlignment="1">
      <alignment horizontal="center" vertical="center" wrapText="1"/>
    </xf>
    <xf numFmtId="0" fontId="0" fillId="12" borderId="91" xfId="0" applyFill="1" applyBorder="1" applyAlignment="1">
      <alignment horizontal="center" vertical="center" wrapText="1"/>
    </xf>
    <xf numFmtId="0" fontId="0" fillId="13" borderId="92" xfId="0" quotePrefix="1" applyFill="1" applyBorder="1"/>
    <xf numFmtId="0" fontId="0" fillId="13" borderId="93" xfId="0" applyFill="1" applyBorder="1"/>
    <xf numFmtId="0" fontId="0" fillId="13" borderId="93" xfId="0" applyFill="1" applyBorder="1" applyAlignment="1">
      <alignment horizontal="center"/>
    </xf>
    <xf numFmtId="0" fontId="0" fillId="13" borderId="94" xfId="0" applyFill="1" applyBorder="1" applyAlignment="1">
      <alignment horizontal="center"/>
    </xf>
    <xf numFmtId="0" fontId="0" fillId="13" borderId="95" xfId="0" quotePrefix="1" applyFill="1" applyBorder="1"/>
    <xf numFmtId="0" fontId="0" fillId="13" borderId="96" xfId="0" applyFill="1" applyBorder="1"/>
    <xf numFmtId="0" fontId="0" fillId="13" borderId="96" xfId="0" applyFill="1" applyBorder="1" applyAlignment="1">
      <alignment horizontal="center"/>
    </xf>
    <xf numFmtId="0" fontId="0" fillId="13" borderId="97" xfId="0" applyFill="1" applyBorder="1" applyAlignment="1">
      <alignment horizontal="center"/>
    </xf>
    <xf numFmtId="0" fontId="0" fillId="13" borderId="98" xfId="0" quotePrefix="1" applyFill="1" applyBorder="1"/>
    <xf numFmtId="0" fontId="0" fillId="13" borderId="99" xfId="0" applyFill="1" applyBorder="1"/>
    <xf numFmtId="0" fontId="0" fillId="13" borderId="99" xfId="0" applyFill="1" applyBorder="1" applyAlignment="1">
      <alignment horizontal="center"/>
    </xf>
    <xf numFmtId="0" fontId="0" fillId="13" borderId="100" xfId="0" applyFill="1" applyBorder="1" applyAlignment="1">
      <alignment horizontal="center"/>
    </xf>
    <xf numFmtId="15" fontId="45" fillId="0" borderId="0" xfId="0" applyNumberFormat="1" applyFont="1"/>
    <xf numFmtId="0" fontId="0" fillId="24" borderId="24" xfId="0" applyFill="1" applyBorder="1" applyAlignment="1">
      <alignment horizontal="center" vertical="center" wrapText="1"/>
    </xf>
    <xf numFmtId="0" fontId="0" fillId="27" borderId="101" xfId="0" applyFill="1" applyBorder="1" applyAlignment="1">
      <alignment horizontal="center"/>
    </xf>
    <xf numFmtId="0" fontId="0" fillId="27" borderId="101" xfId="0" applyFill="1" applyBorder="1"/>
    <xf numFmtId="0" fontId="0" fillId="27" borderId="102" xfId="0" applyFill="1" applyBorder="1" applyAlignment="1">
      <alignment horizontal="center"/>
    </xf>
    <xf numFmtId="0" fontId="0" fillId="27" borderId="102" xfId="0" applyFill="1" applyBorder="1"/>
    <xf numFmtId="0" fontId="0" fillId="27" borderId="103" xfId="0" applyFill="1" applyBorder="1" applyAlignment="1">
      <alignment horizontal="center"/>
    </xf>
    <xf numFmtId="0" fontId="0" fillId="27" borderId="103" xfId="0" applyFill="1" applyBorder="1"/>
    <xf numFmtId="15" fontId="0" fillId="27" borderId="101" xfId="0" applyNumberFormat="1" applyFill="1" applyBorder="1"/>
    <xf numFmtId="15" fontId="0" fillId="27" borderId="102" xfId="0" applyNumberFormat="1" applyFill="1" applyBorder="1"/>
    <xf numFmtId="15" fontId="0" fillId="27" borderId="103" xfId="0" applyNumberFormat="1" applyFill="1" applyBorder="1"/>
    <xf numFmtId="0" fontId="2" fillId="5" borderId="101" xfId="0" applyFont="1" applyFill="1" applyBorder="1" applyAlignment="1">
      <alignment horizontal="center"/>
    </xf>
    <xf numFmtId="0" fontId="0" fillId="12" borderId="87" xfId="0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0" fontId="0" fillId="12" borderId="104" xfId="0" applyFill="1" applyBorder="1" applyAlignment="1">
      <alignment horizontal="center" vertical="center" wrapText="1"/>
    </xf>
    <xf numFmtId="0" fontId="0" fillId="9" borderId="41" xfId="0" applyFill="1" applyBorder="1"/>
    <xf numFmtId="0" fontId="0" fillId="9" borderId="17" xfId="0" applyFill="1" applyBorder="1"/>
    <xf numFmtId="0" fontId="2" fillId="9" borderId="17" xfId="0" applyFont="1" applyFill="1" applyBorder="1" applyAlignment="1">
      <alignment horizontal="center"/>
    </xf>
    <xf numFmtId="0" fontId="0" fillId="9" borderId="4" xfId="0" applyFill="1" applyBorder="1"/>
    <xf numFmtId="0" fontId="0" fillId="9" borderId="5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1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2" fillId="13" borderId="17" xfId="0" applyFont="1" applyFill="1" applyBorder="1" applyAlignment="1">
      <alignment horizontal="center"/>
    </xf>
    <xf numFmtId="0" fontId="40" fillId="3" borderId="105" xfId="0" applyFont="1" applyFill="1" applyBorder="1"/>
    <xf numFmtId="0" fontId="0" fillId="5" borderId="17" xfId="0" applyFill="1" applyBorder="1"/>
    <xf numFmtId="0" fontId="0" fillId="29" borderId="83" xfId="0" applyFill="1" applyBorder="1" applyAlignment="1">
      <alignment horizontal="center" vertical="center"/>
    </xf>
    <xf numFmtId="0" fontId="0" fillId="29" borderId="17" xfId="0" applyFill="1" applyBorder="1"/>
    <xf numFmtId="0" fontId="0" fillId="29" borderId="17" xfId="0" applyFill="1" applyBorder="1" applyAlignment="1">
      <alignment horizontal="center" vertical="center"/>
    </xf>
    <xf numFmtId="0" fontId="0" fillId="29" borderId="79" xfId="0" applyFill="1" applyBorder="1" applyAlignment="1">
      <alignment horizontal="center" vertical="center"/>
    </xf>
    <xf numFmtId="0" fontId="0" fillId="29" borderId="5" xfId="0" applyFill="1" applyBorder="1"/>
    <xf numFmtId="0" fontId="0" fillId="29" borderId="5" xfId="0" applyFill="1" applyBorder="1" applyAlignment="1">
      <alignment horizontal="center" vertical="center"/>
    </xf>
    <xf numFmtId="0" fontId="0" fillId="29" borderId="81" xfId="0" applyFill="1" applyBorder="1" applyAlignment="1">
      <alignment horizontal="center" vertical="center"/>
    </xf>
    <xf numFmtId="0" fontId="0" fillId="29" borderId="105" xfId="0" applyFill="1" applyBorder="1"/>
    <xf numFmtId="0" fontId="0" fillId="29" borderId="105" xfId="0" applyFill="1" applyBorder="1" applyAlignment="1">
      <alignment horizontal="center" vertical="center"/>
    </xf>
    <xf numFmtId="0" fontId="0" fillId="21" borderId="5" xfId="0" applyFill="1" applyBorder="1"/>
    <xf numFmtId="0" fontId="0" fillId="21" borderId="8" xfId="0" applyFill="1" applyBorder="1"/>
    <xf numFmtId="0" fontId="0" fillId="22" borderId="5" xfId="0" applyFill="1" applyBorder="1"/>
    <xf numFmtId="0" fontId="0" fillId="15" borderId="24" xfId="0" applyFill="1" applyBorder="1"/>
    <xf numFmtId="0" fontId="0" fillId="15" borderId="5" xfId="0" applyFill="1" applyBorder="1"/>
    <xf numFmtId="0" fontId="0" fillId="15" borderId="8" xfId="0" applyFill="1" applyBorder="1"/>
    <xf numFmtId="0" fontId="50" fillId="3" borderId="23" xfId="0" applyFont="1" applyFill="1" applyBorder="1"/>
    <xf numFmtId="0" fontId="50" fillId="3" borderId="4" xfId="0" applyFont="1" applyFill="1" applyBorder="1"/>
    <xf numFmtId="0" fontId="50" fillId="3" borderId="7" xfId="0" applyFont="1" applyFill="1" applyBorder="1"/>
    <xf numFmtId="165" fontId="0" fillId="30" borderId="17" xfId="0" applyNumberFormat="1" applyFill="1" applyBorder="1" applyAlignment="1">
      <alignment horizontal="center"/>
    </xf>
    <xf numFmtId="0" fontId="0" fillId="9" borderId="4" xfId="0" applyFill="1" applyBorder="1" applyAlignment="1">
      <alignment horizontal="center" vertical="distributed"/>
    </xf>
    <xf numFmtId="0" fontId="0" fillId="9" borderId="5" xfId="0" applyFill="1" applyBorder="1" applyAlignment="1">
      <alignment horizontal="center" vertical="distributed"/>
    </xf>
    <xf numFmtId="0" fontId="0" fillId="9" borderId="7" xfId="0" applyFill="1" applyBorder="1" applyAlignment="1">
      <alignment horizontal="center" vertical="distributed"/>
    </xf>
    <xf numFmtId="0" fontId="0" fillId="9" borderId="8" xfId="0" applyFill="1" applyBorder="1" applyAlignment="1">
      <alignment horizontal="center" vertical="distributed"/>
    </xf>
    <xf numFmtId="165" fontId="0" fillId="0" borderId="31" xfId="0" applyNumberFormat="1" applyBorder="1" applyAlignment="1">
      <alignment horizontal="center"/>
    </xf>
    <xf numFmtId="165" fontId="0" fillId="0" borderId="17" xfId="0" applyNumberFormat="1" applyBorder="1"/>
    <xf numFmtId="165" fontId="0" fillId="0" borderId="106" xfId="0" applyNumberFormat="1" applyBorder="1"/>
    <xf numFmtId="165" fontId="0" fillId="0" borderId="107" xfId="0" applyNumberFormat="1" applyBorder="1"/>
    <xf numFmtId="0" fontId="18" fillId="0" borderId="0" xfId="0" applyFont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0" borderId="30" xfId="0" applyNumberFormat="1" applyFont="1" applyBorder="1" applyAlignment="1">
      <alignment horizontal="center"/>
    </xf>
    <xf numFmtId="165" fontId="0" fillId="5" borderId="17" xfId="0" applyNumberFormat="1" applyFill="1" applyBorder="1" applyAlignment="1">
      <alignment horizontal="center"/>
    </xf>
    <xf numFmtId="0" fontId="0" fillId="27" borderId="41" xfId="0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164" fontId="0" fillId="27" borderId="17" xfId="0" applyNumberFormat="1" applyFill="1" applyBorder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164" fontId="0" fillId="27" borderId="5" xfId="0" applyNumberFormat="1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164" fontId="0" fillId="27" borderId="8" xfId="0" applyNumberFormat="1" applyFill="1" applyBorder="1" applyAlignment="1">
      <alignment horizontal="center" vertical="center"/>
    </xf>
    <xf numFmtId="0" fontId="0" fillId="23" borderId="24" xfId="0" applyFill="1" applyBorder="1"/>
    <xf numFmtId="0" fontId="0" fillId="23" borderId="5" xfId="0" applyFill="1" applyBorder="1"/>
    <xf numFmtId="0" fontId="0" fillId="23" borderId="5" xfId="0" applyFill="1" applyBorder="1" applyAlignment="1">
      <alignment horizontal="center"/>
    </xf>
    <xf numFmtId="0" fontId="0" fillId="21" borderId="4" xfId="0" applyFill="1" applyBorder="1"/>
    <xf numFmtId="0" fontId="0" fillId="21" borderId="7" xfId="0" applyFill="1" applyBorder="1"/>
    <xf numFmtId="0" fontId="0" fillId="31" borderId="4" xfId="0" applyFill="1" applyBorder="1"/>
    <xf numFmtId="0" fontId="0" fillId="31" borderId="5" xfId="0" applyFill="1" applyBorder="1"/>
    <xf numFmtId="15" fontId="0" fillId="31" borderId="5" xfId="0" applyNumberFormat="1" applyFill="1" applyBorder="1"/>
    <xf numFmtId="0" fontId="0" fillId="31" borderId="5" xfId="0" applyFill="1" applyBorder="1" applyAlignment="1">
      <alignment horizontal="center"/>
    </xf>
    <xf numFmtId="168" fontId="0" fillId="31" borderId="5" xfId="0" applyNumberFormat="1" applyFill="1" applyBorder="1"/>
    <xf numFmtId="0" fontId="0" fillId="31" borderId="7" xfId="0" applyFill="1" applyBorder="1"/>
    <xf numFmtId="0" fontId="0" fillId="31" borderId="8" xfId="0" applyFill="1" applyBorder="1"/>
    <xf numFmtId="15" fontId="0" fillId="31" borderId="8" xfId="0" applyNumberFormat="1" applyFill="1" applyBorder="1"/>
    <xf numFmtId="0" fontId="0" fillId="31" borderId="8" xfId="0" applyFill="1" applyBorder="1" applyAlignment="1">
      <alignment horizontal="center"/>
    </xf>
    <xf numFmtId="168" fontId="0" fillId="31" borderId="8" xfId="0" applyNumberFormat="1" applyFill="1" applyBorder="1"/>
    <xf numFmtId="0" fontId="0" fillId="8" borderId="50" xfId="0" applyFill="1" applyBorder="1" applyAlignment="1">
      <alignment horizontal="center"/>
    </xf>
    <xf numFmtId="0" fontId="0" fillId="20" borderId="17" xfId="0" applyFill="1" applyBorder="1"/>
    <xf numFmtId="0" fontId="0" fillId="20" borderId="17" xfId="0" applyFill="1" applyBorder="1" applyAlignment="1">
      <alignment horizontal="center"/>
    </xf>
    <xf numFmtId="0" fontId="0" fillId="20" borderId="5" xfId="0" applyFill="1" applyBorder="1"/>
    <xf numFmtId="0" fontId="0" fillId="20" borderId="5" xfId="0" applyFill="1" applyBorder="1" applyAlignment="1">
      <alignment horizontal="center"/>
    </xf>
    <xf numFmtId="0" fontId="0" fillId="22" borderId="17" xfId="0" applyFill="1" applyBorder="1"/>
    <xf numFmtId="0" fontId="51" fillId="24" borderId="108" xfId="0" applyFont="1" applyFill="1" applyBorder="1" applyAlignment="1">
      <alignment horizontal="center"/>
    </xf>
    <xf numFmtId="0" fontId="0" fillId="27" borderId="109" xfId="0" applyFill="1" applyBorder="1"/>
    <xf numFmtId="0" fontId="0" fillId="27" borderId="0" xfId="0" applyFill="1" applyAlignment="1">
      <alignment horizontal="center"/>
    </xf>
    <xf numFmtId="0" fontId="0" fillId="27" borderId="110" xfId="0" applyFill="1" applyBorder="1"/>
    <xf numFmtId="0" fontId="0" fillId="27" borderId="11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51" fillId="32" borderId="5" xfId="0" applyFont="1" applyFill="1" applyBorder="1" applyAlignment="1">
      <alignment horizontal="center"/>
    </xf>
    <xf numFmtId="0" fontId="51" fillId="32" borderId="5" xfId="0" applyFont="1" applyFill="1" applyBorder="1"/>
    <xf numFmtId="0" fontId="0" fillId="6" borderId="39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justify"/>
    </xf>
    <xf numFmtId="0" fontId="2" fillId="6" borderId="5" xfId="0" applyFont="1" applyFill="1" applyBorder="1" applyAlignment="1">
      <alignment horizontal="center" vertical="center"/>
    </xf>
    <xf numFmtId="0" fontId="0" fillId="7" borderId="5" xfId="0" applyFill="1" applyBorder="1"/>
    <xf numFmtId="14" fontId="0" fillId="29" borderId="17" xfId="0" applyNumberFormat="1" applyFill="1" applyBorder="1"/>
    <xf numFmtId="14" fontId="0" fillId="29" borderId="5" xfId="0" applyNumberFormat="1" applyFill="1" applyBorder="1"/>
    <xf numFmtId="0" fontId="0" fillId="29" borderId="39" xfId="0" applyFill="1" applyBorder="1"/>
    <xf numFmtId="169" fontId="0" fillId="29" borderId="39" xfId="0" applyNumberFormat="1" applyFill="1" applyBorder="1"/>
    <xf numFmtId="0" fontId="0" fillId="7" borderId="113" xfId="0" applyFill="1" applyBorder="1"/>
    <xf numFmtId="0" fontId="0" fillId="7" borderId="18" xfId="0" applyFill="1" applyBorder="1"/>
    <xf numFmtId="0" fontId="0" fillId="7" borderId="80" xfId="0" applyFill="1" applyBorder="1"/>
    <xf numFmtId="0" fontId="0" fillId="7" borderId="73" xfId="0" applyFill="1" applyBorder="1"/>
    <xf numFmtId="0" fontId="0" fillId="7" borderId="74" xfId="0" applyFill="1" applyBorder="1"/>
    <xf numFmtId="14" fontId="0" fillId="19" borderId="0" xfId="0" applyNumberFormat="1" applyFill="1"/>
    <xf numFmtId="0" fontId="41" fillId="0" borderId="114" xfId="0" applyFont="1" applyBorder="1"/>
    <xf numFmtId="0" fontId="18" fillId="0" borderId="115" xfId="0" applyFont="1" applyBorder="1"/>
    <xf numFmtId="0" fontId="0" fillId="14" borderId="116" xfId="0" applyFill="1" applyBorder="1" applyAlignment="1">
      <alignment horizontal="center" vertical="center"/>
    </xf>
    <xf numFmtId="0" fontId="0" fillId="14" borderId="116" xfId="0" applyFill="1" applyBorder="1" applyAlignment="1">
      <alignment horizontal="center" vertical="justify"/>
    </xf>
    <xf numFmtId="0" fontId="0" fillId="4" borderId="83" xfId="0" applyFill="1" applyBorder="1"/>
    <xf numFmtId="0" fontId="0" fillId="4" borderId="79" xfId="0" applyFill="1" applyBorder="1"/>
    <xf numFmtId="0" fontId="0" fillId="4" borderId="117" xfId="0" applyFill="1" applyBorder="1"/>
    <xf numFmtId="0" fontId="0" fillId="4" borderId="39" xfId="0" applyFill="1" applyBorder="1"/>
    <xf numFmtId="0" fontId="0" fillId="27" borderId="118" xfId="0" applyFill="1" applyBorder="1"/>
    <xf numFmtId="0" fontId="0" fillId="27" borderId="120" xfId="0" applyFill="1" applyBorder="1"/>
    <xf numFmtId="0" fontId="0" fillId="24" borderId="122" xfId="0" applyFill="1" applyBorder="1"/>
    <xf numFmtId="0" fontId="0" fillId="24" borderId="123" xfId="0" applyFill="1" applyBorder="1"/>
    <xf numFmtId="0" fontId="0" fillId="23" borderId="124" xfId="0" applyFill="1" applyBorder="1" applyAlignment="1">
      <alignment horizontal="center"/>
    </xf>
    <xf numFmtId="0" fontId="0" fillId="23" borderId="125" xfId="0" applyFill="1" applyBorder="1" applyAlignment="1">
      <alignment horizontal="center"/>
    </xf>
    <xf numFmtId="0" fontId="0" fillId="23" borderId="126" xfId="0" applyFill="1" applyBorder="1" applyAlignment="1">
      <alignment horizontal="center"/>
    </xf>
    <xf numFmtId="0" fontId="0" fillId="31" borderId="127" xfId="0" applyFill="1" applyBorder="1" applyAlignment="1">
      <alignment horizontal="center"/>
    </xf>
    <xf numFmtId="0" fontId="0" fillId="31" borderId="128" xfId="0" applyFill="1" applyBorder="1" applyAlignment="1">
      <alignment horizontal="center"/>
    </xf>
    <xf numFmtId="165" fontId="0" fillId="31" borderId="129" xfId="0" applyNumberFormat="1" applyFill="1" applyBorder="1"/>
    <xf numFmtId="0" fontId="0" fillId="31" borderId="130" xfId="0" applyFill="1" applyBorder="1" applyAlignment="1">
      <alignment horizontal="center"/>
    </xf>
    <xf numFmtId="0" fontId="0" fillId="31" borderId="131" xfId="0" applyFill="1" applyBorder="1" applyAlignment="1">
      <alignment horizontal="center"/>
    </xf>
    <xf numFmtId="165" fontId="0" fillId="31" borderId="85" xfId="0" applyNumberFormat="1" applyFill="1" applyBorder="1"/>
    <xf numFmtId="0" fontId="0" fillId="31" borderId="132" xfId="0" applyFill="1" applyBorder="1" applyAlignment="1">
      <alignment horizontal="center"/>
    </xf>
    <xf numFmtId="0" fontId="0" fillId="31" borderId="133" xfId="0" applyFill="1" applyBorder="1" applyAlignment="1">
      <alignment horizontal="center"/>
    </xf>
    <xf numFmtId="165" fontId="0" fillId="31" borderId="134" xfId="0" applyNumberFormat="1" applyFill="1" applyBorder="1"/>
    <xf numFmtId="0" fontId="0" fillId="8" borderId="135" xfId="0" applyFill="1" applyBorder="1" applyAlignment="1">
      <alignment horizontal="right"/>
    </xf>
    <xf numFmtId="0" fontId="0" fillId="8" borderId="130" xfId="0" applyFill="1" applyBorder="1" applyAlignment="1">
      <alignment horizontal="right"/>
    </xf>
    <xf numFmtId="0" fontId="0" fillId="8" borderId="132" xfId="0" applyFill="1" applyBorder="1" applyAlignment="1">
      <alignment horizontal="right"/>
    </xf>
    <xf numFmtId="0" fontId="0" fillId="13" borderId="136" xfId="0" applyFill="1" applyBorder="1" applyAlignment="1">
      <alignment horizontal="right"/>
    </xf>
    <xf numFmtId="0" fontId="0" fillId="13" borderId="137" xfId="0" applyFill="1" applyBorder="1" applyAlignment="1">
      <alignment horizontal="right"/>
    </xf>
    <xf numFmtId="0" fontId="0" fillId="13" borderId="138" xfId="0" applyFill="1" applyBorder="1" applyAlignment="1">
      <alignment horizontal="right"/>
    </xf>
    <xf numFmtId="0" fontId="0" fillId="13" borderId="139" xfId="0" applyFill="1" applyBorder="1" applyAlignment="1">
      <alignment horizontal="right"/>
    </xf>
    <xf numFmtId="0" fontId="0" fillId="13" borderId="131" xfId="0" applyFill="1" applyBorder="1" applyAlignment="1">
      <alignment horizontal="right"/>
    </xf>
    <xf numFmtId="0" fontId="0" fillId="13" borderId="140" xfId="0" applyFill="1" applyBorder="1" applyAlignment="1">
      <alignment horizontal="right"/>
    </xf>
    <xf numFmtId="9" fontId="0" fillId="13" borderId="141" xfId="0" applyNumberFormat="1" applyFill="1" applyBorder="1" applyAlignment="1">
      <alignment horizontal="right"/>
    </xf>
    <xf numFmtId="9" fontId="0" fillId="13" borderId="133" xfId="0" applyNumberFormat="1" applyFill="1" applyBorder="1" applyAlignment="1">
      <alignment horizontal="right"/>
    </xf>
    <xf numFmtId="9" fontId="0" fillId="13" borderId="142" xfId="0" applyNumberFormat="1" applyFill="1" applyBorder="1" applyAlignment="1">
      <alignment horizontal="right"/>
    </xf>
    <xf numFmtId="0" fontId="0" fillId="8" borderId="143" xfId="0" applyFill="1" applyBorder="1" applyAlignment="1">
      <alignment horizontal="center" vertical="center"/>
    </xf>
    <xf numFmtId="0" fontId="0" fillId="8" borderId="125" xfId="0" applyFill="1" applyBorder="1" applyAlignment="1">
      <alignment horizontal="center" vertical="center"/>
    </xf>
    <xf numFmtId="0" fontId="0" fillId="8" borderId="125" xfId="0" applyFill="1" applyBorder="1" applyAlignment="1">
      <alignment horizontal="center" vertical="justify"/>
    </xf>
    <xf numFmtId="0" fontId="0" fillId="33" borderId="144" xfId="0" applyFill="1" applyBorder="1" applyAlignment="1">
      <alignment horizontal="center"/>
    </xf>
    <xf numFmtId="0" fontId="0" fillId="33" borderId="145" xfId="0" applyFill="1" applyBorder="1"/>
    <xf numFmtId="0" fontId="0" fillId="33" borderId="145" xfId="0" applyFill="1" applyBorder="1" applyAlignment="1">
      <alignment horizontal="center"/>
    </xf>
    <xf numFmtId="165" fontId="0" fillId="33" borderId="145" xfId="0" applyNumberFormat="1" applyFill="1" applyBorder="1"/>
    <xf numFmtId="0" fontId="0" fillId="33" borderId="146" xfId="0" applyFill="1" applyBorder="1" applyAlignment="1">
      <alignment horizontal="center"/>
    </xf>
    <xf numFmtId="0" fontId="0" fillId="33" borderId="147" xfId="0" applyFill="1" applyBorder="1"/>
    <xf numFmtId="0" fontId="0" fillId="33" borderId="148" xfId="0" applyFill="1" applyBorder="1" applyAlignment="1">
      <alignment horizontal="center"/>
    </xf>
    <xf numFmtId="0" fontId="0" fillId="33" borderId="149" xfId="0" applyFill="1" applyBorder="1"/>
    <xf numFmtId="0" fontId="44" fillId="34" borderId="5" xfId="0" applyFont="1" applyFill="1" applyBorder="1" applyAlignment="1">
      <alignment horizontal="center" vertical="center"/>
    </xf>
    <xf numFmtId="0" fontId="44" fillId="34" borderId="5" xfId="0" applyFont="1" applyFill="1" applyBorder="1" applyAlignment="1">
      <alignment horizontal="center" vertical="justify"/>
    </xf>
    <xf numFmtId="14" fontId="0" fillId="20" borderId="5" xfId="0" applyNumberFormat="1" applyFill="1" applyBorder="1"/>
    <xf numFmtId="0" fontId="44" fillId="32" borderId="5" xfId="0" applyFont="1" applyFill="1" applyBorder="1"/>
    <xf numFmtId="9" fontId="0" fillId="22" borderId="5" xfId="0" applyNumberFormat="1" applyFill="1" applyBorder="1"/>
    <xf numFmtId="9" fontId="0" fillId="29" borderId="5" xfId="0" applyNumberFormat="1" applyFill="1" applyBorder="1"/>
    <xf numFmtId="0" fontId="52" fillId="0" borderId="0" xfId="0" applyFont="1" applyAlignment="1">
      <alignment horizontal="center"/>
    </xf>
    <xf numFmtId="0" fontId="53" fillId="35" borderId="150" xfId="0" applyFont="1" applyFill="1" applyBorder="1" applyAlignment="1">
      <alignment horizontal="center" vertical="center"/>
    </xf>
    <xf numFmtId="0" fontId="53" fillId="35" borderId="151" xfId="0" applyFont="1" applyFill="1" applyBorder="1" applyAlignment="1">
      <alignment horizontal="center" vertical="center"/>
    </xf>
    <xf numFmtId="0" fontId="53" fillId="35" borderId="152" xfId="0" applyFont="1" applyFill="1" applyBorder="1" applyAlignment="1">
      <alignment horizontal="center" vertical="center"/>
    </xf>
    <xf numFmtId="0" fontId="0" fillId="16" borderId="153" xfId="0" applyFill="1" applyBorder="1"/>
    <xf numFmtId="0" fontId="0" fillId="16" borderId="154" xfId="0" applyFill="1" applyBorder="1"/>
    <xf numFmtId="0" fontId="0" fillId="16" borderId="155" xfId="0" applyFill="1" applyBorder="1"/>
    <xf numFmtId="0" fontId="0" fillId="16" borderId="156" xfId="0" applyFill="1" applyBorder="1"/>
    <xf numFmtId="0" fontId="0" fillId="16" borderId="157" xfId="0" applyFill="1" applyBorder="1"/>
    <xf numFmtId="0" fontId="0" fillId="16" borderId="158" xfId="0" applyFill="1" applyBorder="1"/>
    <xf numFmtId="0" fontId="0" fillId="16" borderId="2" xfId="0" applyFill="1" applyBorder="1"/>
    <xf numFmtId="0" fontId="53" fillId="11" borderId="159" xfId="0" applyFont="1" applyFill="1" applyBorder="1" applyAlignment="1">
      <alignment horizontal="center" vertical="center"/>
    </xf>
    <xf numFmtId="0" fontId="53" fillId="11" borderId="159" xfId="0" applyFont="1" applyFill="1" applyBorder="1" applyAlignment="1">
      <alignment horizontal="center" vertical="justify"/>
    </xf>
    <xf numFmtId="0" fontId="53" fillId="11" borderId="160" xfId="0" applyFont="1" applyFill="1" applyBorder="1" applyAlignment="1">
      <alignment horizontal="center" vertical="justify"/>
    </xf>
    <xf numFmtId="0" fontId="44" fillId="25" borderId="161" xfId="0" applyFont="1" applyFill="1" applyBorder="1" applyAlignment="1">
      <alignment horizontal="center"/>
    </xf>
    <xf numFmtId="0" fontId="44" fillId="25" borderId="162" xfId="0" applyFont="1" applyFill="1" applyBorder="1" applyAlignment="1">
      <alignment horizontal="center"/>
    </xf>
    <xf numFmtId="0" fontId="0" fillId="13" borderId="161" xfId="0" applyFill="1" applyBorder="1" applyAlignment="1">
      <alignment horizontal="center"/>
    </xf>
    <xf numFmtId="0" fontId="0" fillId="13" borderId="163" xfId="0" applyFill="1" applyBorder="1" applyAlignment="1">
      <alignment horizontal="center"/>
    </xf>
    <xf numFmtId="0" fontId="0" fillId="13" borderId="162" xfId="0" applyFill="1" applyBorder="1" applyAlignment="1">
      <alignment horizontal="center"/>
    </xf>
    <xf numFmtId="0" fontId="0" fillId="13" borderId="164" xfId="0" applyFill="1" applyBorder="1" applyAlignment="1">
      <alignment horizontal="center"/>
    </xf>
    <xf numFmtId="9" fontId="0" fillId="13" borderId="161" xfId="0" applyNumberFormat="1" applyFill="1" applyBorder="1" applyAlignment="1">
      <alignment horizontal="center"/>
    </xf>
    <xf numFmtId="9" fontId="0" fillId="13" borderId="163" xfId="0" applyNumberFormat="1" applyFill="1" applyBorder="1" applyAlignment="1">
      <alignment horizontal="center"/>
    </xf>
    <xf numFmtId="0" fontId="0" fillId="27" borderId="161" xfId="0" applyFill="1" applyBorder="1"/>
    <xf numFmtId="0" fontId="0" fillId="5" borderId="165" xfId="0" applyFill="1" applyBorder="1"/>
    <xf numFmtId="0" fontId="0" fillId="27" borderId="165" xfId="0" applyFill="1" applyBorder="1"/>
    <xf numFmtId="14" fontId="0" fillId="27" borderId="165" xfId="0" applyNumberFormat="1" applyFill="1" applyBorder="1"/>
    <xf numFmtId="14" fontId="0" fillId="27" borderId="161" xfId="0" applyNumberFormat="1" applyFill="1" applyBorder="1"/>
    <xf numFmtId="0" fontId="54" fillId="24" borderId="166" xfId="0" applyFont="1" applyFill="1" applyBorder="1"/>
    <xf numFmtId="0" fontId="50" fillId="24" borderId="161" xfId="0" applyFont="1" applyFill="1" applyBorder="1"/>
    <xf numFmtId="0" fontId="50" fillId="24" borderId="167" xfId="0" applyFont="1" applyFill="1" applyBorder="1"/>
    <xf numFmtId="0" fontId="50" fillId="24" borderId="168" xfId="0" applyFont="1" applyFill="1" applyBorder="1"/>
    <xf numFmtId="0" fontId="50" fillId="24" borderId="169" xfId="0" applyFont="1" applyFill="1" applyBorder="1"/>
    <xf numFmtId="0" fontId="50" fillId="24" borderId="170" xfId="0" applyFont="1" applyFill="1" applyBorder="1"/>
    <xf numFmtId="0" fontId="50" fillId="24" borderId="171" xfId="0" applyFont="1" applyFill="1" applyBorder="1"/>
    <xf numFmtId="0" fontId="50" fillId="24" borderId="172" xfId="0" applyFont="1" applyFill="1" applyBorder="1"/>
    <xf numFmtId="0" fontId="50" fillId="24" borderId="173" xfId="0" applyFont="1" applyFill="1" applyBorder="1"/>
    <xf numFmtId="9" fontId="0" fillId="5" borderId="165" xfId="0" applyNumberFormat="1" applyFill="1" applyBorder="1"/>
    <xf numFmtId="0" fontId="55" fillId="0" borderId="0" xfId="0" applyFont="1"/>
    <xf numFmtId="165" fontId="0" fillId="0" borderId="11" xfId="0" applyNumberFormat="1" applyBorder="1"/>
    <xf numFmtId="165" fontId="11" fillId="22" borderId="42" xfId="0" applyNumberFormat="1" applyFont="1" applyFill="1" applyBorder="1" applyAlignment="1">
      <alignment horizontal="center"/>
    </xf>
    <xf numFmtId="173" fontId="0" fillId="0" borderId="5" xfId="0" applyNumberFormat="1" applyBorder="1"/>
    <xf numFmtId="165" fontId="18" fillId="5" borderId="17" xfId="0" applyNumberFormat="1" applyFont="1" applyFill="1" applyBorder="1" applyAlignment="1">
      <alignment horizontal="center"/>
    </xf>
    <xf numFmtId="43" fontId="0" fillId="5" borderId="17" xfId="0" applyNumberFormat="1" applyFill="1" applyBorder="1" applyAlignment="1">
      <alignment horizontal="center" vertical="center"/>
    </xf>
    <xf numFmtId="43" fontId="0" fillId="5" borderId="5" xfId="0" applyNumberFormat="1" applyFill="1" applyBorder="1" applyAlignment="1">
      <alignment horizontal="center" vertical="center"/>
    </xf>
    <xf numFmtId="165" fontId="0" fillId="5" borderId="17" xfId="0" applyNumberFormat="1" applyFill="1" applyBorder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165" fontId="0" fillId="5" borderId="42" xfId="0" applyNumberFormat="1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18" fontId="0" fillId="31" borderId="5" xfId="0" applyNumberFormat="1" applyFill="1" applyBorder="1"/>
    <xf numFmtId="18" fontId="0" fillId="31" borderId="8" xfId="0" applyNumberFormat="1" applyFill="1" applyBorder="1"/>
    <xf numFmtId="18" fontId="0" fillId="13" borderId="5" xfId="0" applyNumberFormat="1" applyFill="1" applyBorder="1"/>
    <xf numFmtId="174" fontId="0" fillId="13" borderId="5" xfId="0" applyNumberFormat="1" applyFill="1" applyBorder="1"/>
    <xf numFmtId="165" fontId="0" fillId="13" borderId="5" xfId="0" applyNumberFormat="1" applyFill="1" applyBorder="1"/>
    <xf numFmtId="165" fontId="0" fillId="13" borderId="6" xfId="0" applyNumberFormat="1" applyFill="1" applyBorder="1"/>
    <xf numFmtId="165" fontId="2" fillId="8" borderId="88" xfId="0" applyNumberFormat="1" applyFont="1" applyFill="1" applyBorder="1"/>
    <xf numFmtId="165" fontId="18" fillId="5" borderId="17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right"/>
    </xf>
    <xf numFmtId="165" fontId="0" fillId="0" borderId="6" xfId="0" applyNumberFormat="1" applyBorder="1"/>
    <xf numFmtId="173" fontId="0" fillId="30" borderId="17" xfId="0" applyNumberFormat="1" applyFill="1" applyBorder="1" applyAlignment="1">
      <alignment horizontal="center"/>
    </xf>
    <xf numFmtId="173" fontId="0" fillId="0" borderId="0" xfId="0" applyNumberFormat="1"/>
    <xf numFmtId="173" fontId="0" fillId="5" borderId="175" xfId="0" applyNumberFormat="1" applyFill="1" applyBorder="1"/>
    <xf numFmtId="173" fontId="0" fillId="5" borderId="176" xfId="0" applyNumberFormat="1" applyFill="1" applyBorder="1"/>
    <xf numFmtId="9" fontId="43" fillId="13" borderId="17" xfId="3" applyFont="1" applyFill="1" applyBorder="1" applyAlignment="1">
      <alignment horizontal="center"/>
    </xf>
    <xf numFmtId="175" fontId="43" fillId="13" borderId="42" xfId="2" applyNumberFormat="1" applyFont="1" applyFill="1" applyBorder="1" applyAlignment="1">
      <alignment horizontal="center"/>
    </xf>
    <xf numFmtId="165" fontId="0" fillId="0" borderId="5" xfId="2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16" borderId="5" xfId="0" applyNumberForma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16" borderId="177" xfId="0" applyNumberFormat="1" applyFill="1" applyBorder="1" applyAlignment="1">
      <alignment horizontal="center"/>
    </xf>
    <xf numFmtId="165" fontId="10" fillId="28" borderId="17" xfId="0" applyNumberFormat="1" applyFont="1" applyFill="1" applyBorder="1" applyAlignment="1">
      <alignment horizontal="center"/>
    </xf>
    <xf numFmtId="166" fontId="10" fillId="28" borderId="17" xfId="1" applyFont="1" applyFill="1" applyBorder="1" applyAlignment="1">
      <alignment horizontal="center"/>
    </xf>
    <xf numFmtId="166" fontId="10" fillId="0" borderId="17" xfId="1" applyFont="1" applyBorder="1" applyAlignment="1">
      <alignment horizontal="center"/>
    </xf>
    <xf numFmtId="166" fontId="10" fillId="28" borderId="17" xfId="0" applyNumberFormat="1" applyFont="1" applyFill="1" applyBorder="1" applyAlignment="1">
      <alignment horizontal="center"/>
    </xf>
    <xf numFmtId="166" fontId="10" fillId="0" borderId="42" xfId="1" applyFont="1" applyBorder="1" applyAlignment="1">
      <alignment horizontal="center"/>
    </xf>
    <xf numFmtId="173" fontId="2" fillId="13" borderId="17" xfId="0" applyNumberFormat="1" applyFont="1" applyFill="1" applyBorder="1" applyAlignment="1">
      <alignment horizontal="center"/>
    </xf>
    <xf numFmtId="0" fontId="2" fillId="5" borderId="17" xfId="0" quotePrefix="1" applyFont="1" applyFill="1" applyBorder="1" applyAlignment="1">
      <alignment horizontal="center"/>
    </xf>
    <xf numFmtId="0" fontId="0" fillId="27" borderId="101" xfId="0" quotePrefix="1" applyFill="1" applyBorder="1" applyAlignment="1">
      <alignment horizontal="center"/>
    </xf>
    <xf numFmtId="0" fontId="0" fillId="27" borderId="102" xfId="0" quotePrefix="1" applyFill="1" applyBorder="1" applyAlignment="1">
      <alignment horizontal="center"/>
    </xf>
    <xf numFmtId="0" fontId="0" fillId="27" borderId="103" xfId="0" quotePrefix="1" applyFill="1" applyBorder="1" applyAlignment="1">
      <alignment horizontal="center"/>
    </xf>
    <xf numFmtId="15" fontId="2" fillId="5" borderId="101" xfId="0" applyNumberFormat="1" applyFont="1" applyFill="1" applyBorder="1" applyAlignment="1">
      <alignment horizontal="center"/>
    </xf>
    <xf numFmtId="176" fontId="2" fillId="5" borderId="101" xfId="0" applyNumberFormat="1" applyFont="1" applyFill="1" applyBorder="1" applyAlignment="1">
      <alignment horizontal="center"/>
    </xf>
    <xf numFmtId="177" fontId="0" fillId="7" borderId="17" xfId="0" applyNumberFormat="1" applyFill="1" applyBorder="1"/>
    <xf numFmtId="178" fontId="0" fillId="7" borderId="17" xfId="0" applyNumberFormat="1" applyFill="1" applyBorder="1"/>
    <xf numFmtId="174" fontId="0" fillId="7" borderId="17" xfId="0" applyNumberFormat="1" applyFill="1" applyBorder="1" applyAlignment="1">
      <alignment horizontal="center"/>
    </xf>
    <xf numFmtId="0" fontId="18" fillId="8" borderId="124" xfId="0" applyFont="1" applyFill="1" applyBorder="1" applyAlignment="1">
      <alignment horizontal="center" vertical="center"/>
    </xf>
    <xf numFmtId="165" fontId="0" fillId="33" borderId="201" xfId="0" applyNumberFormat="1" applyFill="1" applyBorder="1"/>
    <xf numFmtId="0" fontId="18" fillId="26" borderId="52" xfId="0" applyFont="1" applyFill="1" applyBorder="1" applyAlignment="1">
      <alignment vertical="center"/>
    </xf>
    <xf numFmtId="165" fontId="0" fillId="0" borderId="30" xfId="0" applyNumberFormat="1" applyBorder="1"/>
    <xf numFmtId="165" fontId="0" fillId="7" borderId="38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75" fontId="0" fillId="4" borderId="6" xfId="2" applyNumberFormat="1" applyFon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175" fontId="0" fillId="9" borderId="86" xfId="0" applyNumberFormat="1" applyFill="1" applyBorder="1" applyAlignment="1">
      <alignment horizontal="center"/>
    </xf>
    <xf numFmtId="175" fontId="0" fillId="0" borderId="6" xfId="0" applyNumberFormat="1" applyBorder="1" applyAlignment="1">
      <alignment horizontal="center" vertical="distributed"/>
    </xf>
    <xf numFmtId="0" fontId="0" fillId="14" borderId="60" xfId="0" applyFill="1" applyBorder="1" applyAlignment="1">
      <alignment horizontal="center" vertical="center"/>
    </xf>
    <xf numFmtId="0" fontId="18" fillId="20" borderId="5" xfId="0" applyFont="1" applyFill="1" applyBorder="1" applyAlignment="1">
      <alignment horizontal="center" vertical="center"/>
    </xf>
    <xf numFmtId="0" fontId="44" fillId="32" borderId="5" xfId="0" applyFont="1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18" fillId="22" borderId="5" xfId="0" applyFont="1" applyFill="1" applyBorder="1" applyAlignment="1">
      <alignment horizontal="center" vertical="center"/>
    </xf>
    <xf numFmtId="179" fontId="0" fillId="0" borderId="5" xfId="0" applyNumberFormat="1" applyBorder="1" applyAlignment="1">
      <alignment horizontal="center"/>
    </xf>
    <xf numFmtId="179" fontId="0" fillId="17" borderId="5" xfId="0" applyNumberFormat="1" applyFill="1" applyBorder="1" applyAlignment="1">
      <alignment horizontal="center"/>
    </xf>
    <xf numFmtId="179" fontId="2" fillId="5" borderId="17" xfId="0" applyNumberFormat="1" applyFont="1" applyFill="1" applyBorder="1" applyAlignment="1">
      <alignment horizontal="center"/>
    </xf>
    <xf numFmtId="179" fontId="2" fillId="5" borderId="42" xfId="0" applyNumberFormat="1" applyFont="1" applyFill="1" applyBorder="1" applyAlignment="1">
      <alignment horizontal="center"/>
    </xf>
    <xf numFmtId="179" fontId="2" fillId="5" borderId="202" xfId="0" applyNumberFormat="1" applyFont="1" applyFill="1" applyBorder="1" applyAlignment="1">
      <alignment horizontal="center"/>
    </xf>
    <xf numFmtId="166" fontId="8" fillId="4" borderId="48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3" borderId="23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/>
    </xf>
    <xf numFmtId="0" fontId="0" fillId="23" borderId="2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6" borderId="64" xfId="0" applyFont="1" applyFill="1" applyBorder="1" applyAlignment="1">
      <alignment horizontal="center" vertical="center"/>
    </xf>
    <xf numFmtId="0" fontId="0" fillId="6" borderId="67" xfId="0" applyFill="1" applyBorder="1" applyAlignment="1">
      <alignment horizontal="center" vertical="center"/>
    </xf>
    <xf numFmtId="0" fontId="2" fillId="6" borderId="178" xfId="0" applyFont="1" applyFill="1" applyBorder="1" applyAlignment="1">
      <alignment horizontal="center" vertical="center"/>
    </xf>
    <xf numFmtId="0" fontId="0" fillId="6" borderId="179" xfId="0" applyFill="1" applyBorder="1" applyAlignment="1">
      <alignment horizontal="center" vertical="center"/>
    </xf>
    <xf numFmtId="0" fontId="2" fillId="6" borderId="62" xfId="0" applyFont="1" applyFill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0" fontId="2" fillId="6" borderId="180" xfId="0" applyFont="1" applyFill="1" applyBorder="1" applyAlignment="1">
      <alignment horizontal="center"/>
    </xf>
    <xf numFmtId="0" fontId="2" fillId="6" borderId="181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15" borderId="53" xfId="0" applyFill="1" applyBorder="1" applyAlignment="1">
      <alignment horizontal="center" vertical="center" wrapText="1"/>
    </xf>
    <xf numFmtId="0" fontId="0" fillId="15" borderId="17" xfId="0" applyFill="1" applyBorder="1"/>
    <xf numFmtId="0" fontId="0" fillId="15" borderId="104" xfId="0" applyFill="1" applyBorder="1" applyAlignment="1">
      <alignment horizontal="center" vertical="center" wrapText="1"/>
    </xf>
    <xf numFmtId="0" fontId="0" fillId="15" borderId="42" xfId="0" applyFill="1" applyBorder="1"/>
    <xf numFmtId="0" fontId="0" fillId="15" borderId="78" xfId="0" applyFill="1" applyBorder="1" applyAlignment="1">
      <alignment horizontal="center"/>
    </xf>
    <xf numFmtId="0" fontId="0" fillId="15" borderId="72" xfId="0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15" borderId="87" xfId="0" applyFill="1" applyBorder="1" applyAlignment="1">
      <alignment horizontal="center" vertical="center"/>
    </xf>
    <xf numFmtId="0" fontId="0" fillId="15" borderId="41" xfId="0" applyFill="1" applyBorder="1"/>
    <xf numFmtId="0" fontId="0" fillId="15" borderId="53" xfId="0" applyFill="1" applyBorder="1" applyAlignment="1">
      <alignment horizontal="center" vertical="center"/>
    </xf>
    <xf numFmtId="0" fontId="3" fillId="23" borderId="63" xfId="0" applyFont="1" applyFill="1" applyBorder="1" applyAlignment="1">
      <alignment horizontal="center" vertical="center" wrapText="1"/>
    </xf>
    <xf numFmtId="0" fontId="3" fillId="23" borderId="6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18" borderId="53" xfId="0" applyFont="1" applyFill="1" applyBorder="1" applyAlignment="1">
      <alignment horizontal="center" vertical="center"/>
    </xf>
    <xf numFmtId="0" fontId="11" fillId="18" borderId="17" xfId="0" applyFont="1" applyFill="1" applyBorder="1" applyAlignment="1">
      <alignment horizontal="center" vertical="center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0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87" xfId="0" applyFont="1" applyFill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11" fillId="18" borderId="25" xfId="0" applyFont="1" applyFill="1" applyBorder="1" applyAlignment="1">
      <alignment horizontal="center" vertical="center"/>
    </xf>
    <xf numFmtId="0" fontId="11" fillId="18" borderId="6" xfId="0" applyFont="1" applyFill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184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83" xfId="0" applyBorder="1" applyAlignment="1">
      <alignment horizontal="right" vertical="center" wrapText="1"/>
    </xf>
    <xf numFmtId="0" fontId="0" fillId="0" borderId="185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86" xfId="0" applyBorder="1" applyAlignment="1">
      <alignment horizontal="right" vertical="center" wrapText="1"/>
    </xf>
    <xf numFmtId="0" fontId="0" fillId="0" borderId="23" xfId="0" applyBorder="1" applyAlignment="1">
      <alignment horizontal="right" vertical="center" wrapText="1"/>
    </xf>
    <xf numFmtId="0" fontId="0" fillId="0" borderId="24" xfId="0" applyBorder="1" applyAlignment="1">
      <alignment horizontal="right" vertical="center" wrapText="1"/>
    </xf>
    <xf numFmtId="0" fontId="28" fillId="0" borderId="0" xfId="0" applyFont="1" applyAlignment="1">
      <alignment horizontal="center"/>
    </xf>
    <xf numFmtId="0" fontId="44" fillId="25" borderId="104" xfId="0" applyFont="1" applyFill="1" applyBorder="1" applyAlignment="1">
      <alignment horizontal="center" vertical="center"/>
    </xf>
    <xf numFmtId="0" fontId="44" fillId="25" borderId="42" xfId="0" applyFont="1" applyFill="1" applyBorder="1" applyAlignment="1">
      <alignment horizontal="center" vertical="center"/>
    </xf>
    <xf numFmtId="15" fontId="44" fillId="25" borderId="187" xfId="0" applyNumberFormat="1" applyFont="1" applyFill="1" applyBorder="1" applyAlignment="1">
      <alignment horizontal="center"/>
    </xf>
    <xf numFmtId="15" fontId="44" fillId="25" borderId="188" xfId="0" applyNumberFormat="1" applyFont="1" applyFill="1" applyBorder="1" applyAlignment="1">
      <alignment horizontal="center"/>
    </xf>
    <xf numFmtId="15" fontId="44" fillId="25" borderId="1" xfId="0" applyNumberFormat="1" applyFont="1" applyFill="1" applyBorder="1" applyAlignment="1">
      <alignment horizontal="center"/>
    </xf>
    <xf numFmtId="15" fontId="44" fillId="25" borderId="189" xfId="0" applyNumberFormat="1" applyFont="1" applyFill="1" applyBorder="1" applyAlignment="1">
      <alignment horizontal="center"/>
    </xf>
    <xf numFmtId="0" fontId="44" fillId="25" borderId="23" xfId="0" applyFont="1" applyFill="1" applyBorder="1" applyAlignment="1">
      <alignment horizontal="center" vertical="center"/>
    </xf>
    <xf numFmtId="0" fontId="44" fillId="25" borderId="4" xfId="0" applyFont="1" applyFill="1" applyBorder="1" applyAlignment="1">
      <alignment horizontal="center" vertical="center"/>
    </xf>
    <xf numFmtId="0" fontId="44" fillId="25" borderId="24" xfId="0" applyFont="1" applyFill="1" applyBorder="1" applyAlignment="1">
      <alignment horizontal="center" vertical="center"/>
    </xf>
    <xf numFmtId="0" fontId="44" fillId="25" borderId="5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0" fillId="3" borderId="190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190" xfId="0" applyFont="1" applyFill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9" fillId="3" borderId="191" xfId="0" applyFont="1" applyFill="1" applyBorder="1" applyAlignment="1">
      <alignment horizontal="center" vertical="top"/>
    </xf>
    <xf numFmtId="0" fontId="39" fillId="3" borderId="81" xfId="0" applyFont="1" applyFill="1" applyBorder="1" applyAlignment="1">
      <alignment horizontal="center" vertical="top"/>
    </xf>
    <xf numFmtId="0" fontId="40" fillId="3" borderId="192" xfId="0" applyFont="1" applyFill="1" applyBorder="1" applyAlignment="1">
      <alignment horizontal="center" vertical="center"/>
    </xf>
    <xf numFmtId="0" fontId="40" fillId="3" borderId="105" xfId="0" applyFont="1" applyFill="1" applyBorder="1" applyAlignment="1">
      <alignment horizontal="center" vertical="center"/>
    </xf>
    <xf numFmtId="0" fontId="40" fillId="3" borderId="192" xfId="0" applyFont="1" applyFill="1" applyBorder="1" applyAlignment="1">
      <alignment horizontal="center"/>
    </xf>
    <xf numFmtId="0" fontId="41" fillId="8" borderId="23" xfId="0" applyFont="1" applyFill="1" applyBorder="1" applyAlignment="1">
      <alignment horizontal="center" vertical="distributed"/>
    </xf>
    <xf numFmtId="0" fontId="41" fillId="8" borderId="4" xfId="0" applyFont="1" applyFill="1" applyBorder="1" applyAlignment="1">
      <alignment horizontal="center" vertical="distributed"/>
    </xf>
    <xf numFmtId="0" fontId="41" fillId="8" borderId="24" xfId="0" applyFont="1" applyFill="1" applyBorder="1" applyAlignment="1">
      <alignment horizontal="center" vertical="distributed"/>
    </xf>
    <xf numFmtId="0" fontId="41" fillId="8" borderId="5" xfId="0" applyFont="1" applyFill="1" applyBorder="1" applyAlignment="1">
      <alignment horizontal="center" vertical="distributed"/>
    </xf>
    <xf numFmtId="0" fontId="41" fillId="0" borderId="25" xfId="0" applyFont="1" applyBorder="1" applyAlignment="1">
      <alignment horizontal="center" vertical="distributed"/>
    </xf>
    <xf numFmtId="0" fontId="41" fillId="0" borderId="6" xfId="0" applyFont="1" applyBorder="1" applyAlignment="1">
      <alignment horizontal="center" vertical="distributed"/>
    </xf>
    <xf numFmtId="0" fontId="41" fillId="0" borderId="0" xfId="0" applyFont="1" applyAlignment="1">
      <alignment horizontal="center"/>
    </xf>
    <xf numFmtId="0" fontId="2" fillId="14" borderId="4" xfId="0" applyFont="1" applyFill="1" applyBorder="1" applyAlignment="1">
      <alignment horizontal="center" vertical="center"/>
    </xf>
    <xf numFmtId="0" fontId="2" fillId="14" borderId="19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39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justify"/>
    </xf>
    <xf numFmtId="0" fontId="2" fillId="14" borderId="39" xfId="0" applyFont="1" applyFill="1" applyBorder="1" applyAlignment="1">
      <alignment horizontal="center" vertical="justify"/>
    </xf>
    <xf numFmtId="0" fontId="2" fillId="14" borderId="6" xfId="0" applyFont="1" applyFill="1" applyBorder="1" applyAlignment="1">
      <alignment horizontal="center" vertical="center"/>
    </xf>
    <xf numFmtId="0" fontId="2" fillId="14" borderId="193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51" fillId="34" borderId="5" xfId="0" applyFont="1" applyFill="1" applyBorder="1" applyAlignment="1">
      <alignment horizontal="center" vertical="center"/>
    </xf>
    <xf numFmtId="0" fontId="51" fillId="34" borderId="39" xfId="0" applyFont="1" applyFill="1" applyBorder="1" applyAlignment="1">
      <alignment horizontal="center" vertical="center"/>
    </xf>
    <xf numFmtId="0" fontId="51" fillId="24" borderId="112" xfId="0" applyFont="1" applyFill="1" applyBorder="1" applyAlignment="1">
      <alignment horizontal="center" vertical="center"/>
    </xf>
    <xf numFmtId="0" fontId="51" fillId="24" borderId="195" xfId="0" applyFont="1" applyFill="1" applyBorder="1" applyAlignment="1">
      <alignment horizontal="center" vertical="center"/>
    </xf>
    <xf numFmtId="0" fontId="51" fillId="24" borderId="196" xfId="0" applyFont="1" applyFill="1" applyBorder="1" applyAlignment="1">
      <alignment horizontal="center" vertical="center"/>
    </xf>
    <xf numFmtId="0" fontId="51" fillId="24" borderId="112" xfId="0" applyFont="1" applyFill="1" applyBorder="1" applyAlignment="1">
      <alignment horizontal="justify" vertical="justify"/>
    </xf>
    <xf numFmtId="0" fontId="51" fillId="24" borderId="195" xfId="0" applyFont="1" applyFill="1" applyBorder="1" applyAlignment="1">
      <alignment horizontal="justify" vertical="justify"/>
    </xf>
    <xf numFmtId="0" fontId="51" fillId="24" borderId="112" xfId="0" applyFont="1" applyFill="1" applyBorder="1" applyAlignment="1">
      <alignment horizontal="center" vertical="justify"/>
    </xf>
    <xf numFmtId="0" fontId="51" fillId="24" borderId="195" xfId="0" applyFont="1" applyFill="1" applyBorder="1" applyAlignment="1">
      <alignment horizontal="center" vertical="justify"/>
    </xf>
    <xf numFmtId="0" fontId="0" fillId="8" borderId="2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justify"/>
    </xf>
    <xf numFmtId="0" fontId="0" fillId="8" borderId="5" xfId="0" applyFill="1" applyBorder="1" applyAlignment="1">
      <alignment horizontal="center" vertical="justify"/>
    </xf>
    <xf numFmtId="0" fontId="0" fillId="8" borderId="25" xfId="0" applyFill="1" applyBorder="1" applyAlignment="1">
      <alignment horizontal="center" vertical="justify"/>
    </xf>
    <xf numFmtId="0" fontId="0" fillId="8" borderId="6" xfId="0" applyFill="1" applyBorder="1" applyAlignment="1">
      <alignment horizontal="center" vertical="justify"/>
    </xf>
    <xf numFmtId="0" fontId="51" fillId="32" borderId="24" xfId="0" applyFont="1" applyFill="1" applyBorder="1" applyAlignment="1">
      <alignment horizontal="center" vertical="center"/>
    </xf>
    <xf numFmtId="0" fontId="51" fillId="32" borderId="5" xfId="0" applyFont="1" applyFill="1" applyBorder="1" applyAlignment="1">
      <alignment horizontal="center" vertical="center"/>
    </xf>
    <xf numFmtId="0" fontId="51" fillId="32" borderId="24" xfId="0" applyFont="1" applyFill="1" applyBorder="1" applyAlignment="1">
      <alignment horizontal="center"/>
    </xf>
    <xf numFmtId="0" fontId="51" fillId="32" borderId="23" xfId="0" applyFont="1" applyFill="1" applyBorder="1" applyAlignment="1">
      <alignment horizontal="center" vertical="justify"/>
    </xf>
    <xf numFmtId="0" fontId="51" fillId="32" borderId="4" xfId="0" applyFont="1" applyFill="1" applyBorder="1" applyAlignment="1">
      <alignment horizontal="center" vertical="justify"/>
    </xf>
    <xf numFmtId="0" fontId="51" fillId="32" borderId="24" xfId="0" applyFont="1" applyFill="1" applyBorder="1" applyAlignment="1">
      <alignment horizontal="center" vertical="justify"/>
    </xf>
    <xf numFmtId="0" fontId="51" fillId="32" borderId="5" xfId="0" applyFont="1" applyFill="1" applyBorder="1" applyAlignment="1">
      <alignment horizontal="center" vertical="justify"/>
    </xf>
    <xf numFmtId="0" fontId="51" fillId="32" borderId="25" xfId="0" applyFont="1" applyFill="1" applyBorder="1" applyAlignment="1">
      <alignment horizontal="center" vertical="justify"/>
    </xf>
    <xf numFmtId="0" fontId="51" fillId="32" borderId="6" xfId="0" applyFont="1" applyFill="1" applyBorder="1" applyAlignment="1">
      <alignment horizontal="center" vertical="justify"/>
    </xf>
    <xf numFmtId="0" fontId="2" fillId="6" borderId="5" xfId="0" applyFont="1" applyFill="1" applyBorder="1" applyAlignment="1">
      <alignment horizontal="center" vertical="center"/>
    </xf>
    <xf numFmtId="0" fontId="58" fillId="0" borderId="0" xfId="0" applyFont="1" applyAlignment="1">
      <alignment horizontal="center"/>
    </xf>
    <xf numFmtId="0" fontId="0" fillId="6" borderId="43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/>
    </xf>
    <xf numFmtId="0" fontId="0" fillId="6" borderId="197" xfId="0" applyFill="1" applyBorder="1" applyAlignment="1">
      <alignment horizontal="center" vertical="center"/>
    </xf>
    <xf numFmtId="0" fontId="0" fillId="6" borderId="198" xfId="0" applyFill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0" fillId="14" borderId="199" xfId="0" applyFill="1" applyBorder="1" applyAlignment="1">
      <alignment horizontal="center" vertical="center"/>
    </xf>
    <xf numFmtId="0" fontId="0" fillId="14" borderId="117" xfId="0" applyFill="1" applyBorder="1" applyAlignment="1">
      <alignment horizontal="center" vertical="center"/>
    </xf>
    <xf numFmtId="0" fontId="0" fillId="14" borderId="43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200" xfId="0" applyFill="1" applyBorder="1" applyAlignment="1">
      <alignment horizontal="center"/>
    </xf>
    <xf numFmtId="0" fontId="0" fillId="14" borderId="113" xfId="0" applyFill="1" applyBorder="1" applyAlignment="1">
      <alignment horizontal="center" vertical="justify"/>
    </xf>
    <xf numFmtId="0" fontId="0" fillId="14" borderId="116" xfId="0" applyFill="1" applyBorder="1" applyAlignment="1">
      <alignment horizontal="center" vertical="justify"/>
    </xf>
    <xf numFmtId="0" fontId="0" fillId="14" borderId="197" xfId="0" applyFill="1" applyBorder="1" applyAlignment="1">
      <alignment horizontal="center" vertical="center"/>
    </xf>
    <xf numFmtId="0" fontId="0" fillId="14" borderId="198" xfId="0" applyFill="1" applyBorder="1" applyAlignment="1">
      <alignment horizontal="center" vertical="center"/>
    </xf>
    <xf numFmtId="0" fontId="4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180" fontId="0" fillId="22" borderId="17" xfId="0" applyNumberFormat="1" applyFill="1" applyBorder="1"/>
    <xf numFmtId="180" fontId="0" fillId="22" borderId="5" xfId="0" applyNumberFormat="1" applyFill="1" applyBorder="1"/>
    <xf numFmtId="0" fontId="51" fillId="24" borderId="109" xfId="0" applyFont="1" applyFill="1" applyBorder="1" applyAlignment="1">
      <alignment horizontal="center" vertical="justify"/>
    </xf>
    <xf numFmtId="0" fontId="51" fillId="24" borderId="0" xfId="0" applyFont="1" applyFill="1" applyBorder="1" applyAlignment="1">
      <alignment horizontal="center" vertical="center"/>
    </xf>
    <xf numFmtId="0" fontId="51" fillId="24" borderId="175" xfId="0" applyFont="1" applyFill="1" applyBorder="1" applyAlignment="1">
      <alignment horizontal="center"/>
    </xf>
    <xf numFmtId="173" fontId="0" fillId="5" borderId="5" xfId="0" applyNumberFormat="1" applyFill="1" applyBorder="1"/>
    <xf numFmtId="179" fontId="0" fillId="5" borderId="5" xfId="0" applyNumberFormat="1" applyFill="1" applyBorder="1"/>
    <xf numFmtId="180" fontId="0" fillId="27" borderId="17" xfId="0" applyNumberFormat="1" applyFill="1" applyBorder="1"/>
    <xf numFmtId="180" fontId="0" fillId="28" borderId="5" xfId="0" applyNumberFormat="1" applyFill="1" applyBorder="1"/>
    <xf numFmtId="180" fontId="0" fillId="28" borderId="17" xfId="0" applyNumberFormat="1" applyFill="1" applyBorder="1"/>
    <xf numFmtId="180" fontId="18" fillId="28" borderId="17" xfId="0" applyNumberFormat="1" applyFont="1" applyFill="1" applyBorder="1"/>
    <xf numFmtId="180" fontId="0" fillId="28" borderId="18" xfId="0" applyNumberFormat="1" applyFill="1" applyBorder="1"/>
    <xf numFmtId="180" fontId="0" fillId="27" borderId="119" xfId="0" applyNumberFormat="1" applyFill="1" applyBorder="1"/>
    <xf numFmtId="180" fontId="0" fillId="27" borderId="121" xfId="0" applyNumberFormat="1" applyFill="1" applyBorder="1"/>
    <xf numFmtId="9" fontId="0" fillId="33" borderId="145" xfId="3" applyFont="1" applyFill="1" applyBorder="1"/>
    <xf numFmtId="180" fontId="0" fillId="29" borderId="5" xfId="0" applyNumberFormat="1" applyFill="1" applyBorder="1"/>
    <xf numFmtId="180" fontId="0" fillId="5" borderId="165" xfId="0" applyNumberFormat="1" applyFill="1" applyBorder="1"/>
    <xf numFmtId="180" fontId="0" fillId="27" borderId="165" xfId="0" applyNumberFormat="1" applyFill="1" applyBorder="1"/>
    <xf numFmtId="180" fontId="0" fillId="27" borderId="161" xfId="0" applyNumberFormat="1" applyFill="1" applyBorder="1"/>
    <xf numFmtId="180" fontId="0" fillId="5" borderId="174" xfId="0" applyNumberFormat="1" applyFill="1" applyBorder="1"/>
  </cellXfs>
  <cellStyles count="4">
    <cellStyle name="Currency" xfId="1" builtinId="4"/>
    <cellStyle name="Currency [0]" xfId="2" builtinId="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3</xdr:row>
      <xdr:rowOff>9525</xdr:rowOff>
    </xdr:from>
    <xdr:to>
      <xdr:col>6</xdr:col>
      <xdr:colOff>466725</xdr:colOff>
      <xdr:row>5</xdr:row>
      <xdr:rowOff>19050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19500" y="590550"/>
          <a:ext cx="1714500" cy="495300"/>
        </a:xfrm>
        <a:prstGeom prst="rect">
          <a:avLst/>
        </a:prstGeom>
      </xdr:spPr>
      <xdr:txBody>
        <a:bodyPr wrap="none" fromWordArt="1">
          <a:prstTxWarp prst="textDoubleWave1">
            <a:avLst>
              <a:gd name="adj1" fmla="val 6500"/>
              <a:gd name="adj2" fmla="val 0"/>
            </a:avLst>
          </a:prstTxWarp>
        </a:bodyPr>
        <a:lstStyle/>
        <a:p>
          <a:pPr algn="ctr" rtl="0"/>
          <a:r>
            <a:rPr lang="en-US" sz="3600" kern="10" spc="-360">
              <a:ln w="12700">
                <a:solidFill>
                  <a:srgbClr val="969696"/>
                </a:solidFill>
                <a:round/>
                <a:headEnd/>
                <a:tailEnd/>
              </a:ln>
              <a:solidFill>
                <a:srgbClr val="FFFF00"/>
              </a:solidFill>
              <a:effectLst>
                <a:outerShdw dist="125724" dir="18900000" algn="ctr" rotWithShape="0">
                  <a:srgbClr val="000099"/>
                </a:outerShdw>
              </a:effectLst>
              <a:latin typeface="Impact"/>
            </a:rPr>
            <a:t>Rp bt-02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tihan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</sheetNames>
    <sheetDataSet>
      <sheetData sheetId="0" refreshError="1"/>
      <sheetData sheetId="1">
        <row r="6">
          <cell r="B6" t="str">
            <v>Jumlah Penduduk Miskin (Juta)</v>
          </cell>
        </row>
        <row r="7">
          <cell r="B7">
            <v>49.5</v>
          </cell>
        </row>
        <row r="8">
          <cell r="B8">
            <v>47.97</v>
          </cell>
        </row>
        <row r="9">
          <cell r="B9">
            <v>38.700000000000003</v>
          </cell>
        </row>
        <row r="10">
          <cell r="B10">
            <v>37.9</v>
          </cell>
        </row>
        <row r="11">
          <cell r="B11">
            <v>38.4</v>
          </cell>
        </row>
        <row r="12">
          <cell r="B12">
            <v>37.299999999999997</v>
          </cell>
        </row>
        <row r="13">
          <cell r="B13">
            <v>36.1</v>
          </cell>
        </row>
        <row r="14">
          <cell r="B14">
            <v>35.1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F17" sqref="F17"/>
    </sheetView>
  </sheetViews>
  <sheetFormatPr defaultRowHeight="13.2"/>
  <cols>
    <col min="1" max="1" width="5" customWidth="1"/>
    <col min="2" max="2" width="7.109375" customWidth="1"/>
    <col min="3" max="3" width="18.33203125" customWidth="1"/>
    <col min="4" max="4" width="15.109375" customWidth="1"/>
    <col min="6" max="6" width="14.33203125" customWidth="1"/>
  </cols>
  <sheetData>
    <row r="1" spans="1:6" ht="16.2">
      <c r="A1" s="11" t="s">
        <v>14</v>
      </c>
    </row>
    <row r="3" spans="1:6" ht="13.8" thickBot="1">
      <c r="A3" s="8"/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ht="20.25" customHeight="1">
      <c r="A4" s="9">
        <v>1</v>
      </c>
      <c r="B4" s="1" t="s">
        <v>0</v>
      </c>
      <c r="C4" s="2"/>
      <c r="D4" s="2"/>
      <c r="E4" s="2"/>
      <c r="F4" s="2"/>
    </row>
    <row r="5" spans="1:6" ht="22.5" customHeight="1" thickBot="1">
      <c r="A5" s="9">
        <v>2</v>
      </c>
      <c r="B5" s="3" t="s">
        <v>1</v>
      </c>
      <c r="C5" s="4"/>
      <c r="D5" s="5"/>
      <c r="E5" s="5"/>
      <c r="F5" s="5"/>
    </row>
    <row r="6" spans="1:6" ht="31.2" thickTop="1" thickBot="1">
      <c r="A6" s="9">
        <v>3</v>
      </c>
      <c r="B6" s="86" t="s">
        <v>2</v>
      </c>
      <c r="C6" s="87" t="s">
        <v>23</v>
      </c>
      <c r="D6" s="87" t="s">
        <v>22</v>
      </c>
      <c r="E6" s="87" t="s">
        <v>21</v>
      </c>
      <c r="F6" s="88" t="s">
        <v>20</v>
      </c>
    </row>
    <row r="7" spans="1:6" ht="15.6" thickBot="1">
      <c r="A7" s="9">
        <v>4</v>
      </c>
      <c r="B7" s="89">
        <v>1</v>
      </c>
      <c r="C7" s="90" t="s">
        <v>3</v>
      </c>
      <c r="D7" s="91">
        <v>20000</v>
      </c>
      <c r="E7" s="92">
        <v>5</v>
      </c>
      <c r="F7" s="93">
        <f>D7*E7</f>
        <v>100000</v>
      </c>
    </row>
    <row r="8" spans="1:6" ht="15.6" thickBot="1">
      <c r="A8" s="9">
        <v>5</v>
      </c>
      <c r="B8" s="94">
        <v>2</v>
      </c>
      <c r="C8" s="90" t="s">
        <v>7</v>
      </c>
      <c r="D8" s="91">
        <v>7500</v>
      </c>
      <c r="E8" s="92">
        <v>3</v>
      </c>
      <c r="F8" s="93">
        <f t="shared" ref="F8:F14" si="0">D8*E8</f>
        <v>22500</v>
      </c>
    </row>
    <row r="9" spans="1:6" ht="15.6" thickBot="1">
      <c r="A9" s="9">
        <v>6</v>
      </c>
      <c r="B9" s="94">
        <v>3</v>
      </c>
      <c r="C9" s="90" t="s">
        <v>8</v>
      </c>
      <c r="D9" s="91">
        <v>3000</v>
      </c>
      <c r="E9" s="92">
        <v>5</v>
      </c>
      <c r="F9" s="93">
        <f t="shared" si="0"/>
        <v>15000</v>
      </c>
    </row>
    <row r="10" spans="1:6" ht="15.6" thickBot="1">
      <c r="A10" s="9">
        <v>7</v>
      </c>
      <c r="B10" s="94">
        <v>4</v>
      </c>
      <c r="C10" s="90" t="s">
        <v>9</v>
      </c>
      <c r="D10" s="91">
        <v>3500</v>
      </c>
      <c r="E10" s="92">
        <v>5</v>
      </c>
      <c r="F10" s="93">
        <f t="shared" si="0"/>
        <v>17500</v>
      </c>
    </row>
    <row r="11" spans="1:6" ht="15.6" thickBot="1">
      <c r="A11" s="9">
        <v>8</v>
      </c>
      <c r="B11" s="94">
        <v>5</v>
      </c>
      <c r="C11" s="90" t="s">
        <v>10</v>
      </c>
      <c r="D11" s="91">
        <v>4500</v>
      </c>
      <c r="E11" s="92">
        <v>2</v>
      </c>
      <c r="F11" s="93">
        <f t="shared" si="0"/>
        <v>9000</v>
      </c>
    </row>
    <row r="12" spans="1:6" ht="15.6" thickBot="1">
      <c r="A12" s="9">
        <v>9</v>
      </c>
      <c r="B12" s="94">
        <v>6</v>
      </c>
      <c r="C12" s="90" t="s">
        <v>13</v>
      </c>
      <c r="D12" s="91">
        <v>9000</v>
      </c>
      <c r="E12" s="92">
        <v>1</v>
      </c>
      <c r="F12" s="93">
        <f t="shared" si="0"/>
        <v>9000</v>
      </c>
    </row>
    <row r="13" spans="1:6" ht="15.6" thickBot="1">
      <c r="A13" s="9">
        <v>10</v>
      </c>
      <c r="B13" s="94">
        <v>7</v>
      </c>
      <c r="C13" s="90" t="s">
        <v>11</v>
      </c>
      <c r="D13" s="91">
        <v>3000</v>
      </c>
      <c r="E13" s="92">
        <v>4</v>
      </c>
      <c r="F13" s="93">
        <f t="shared" si="0"/>
        <v>12000</v>
      </c>
    </row>
    <row r="14" spans="1:6" ht="15.6" thickBot="1">
      <c r="A14" s="9">
        <v>11</v>
      </c>
      <c r="B14" s="94">
        <v>8</v>
      </c>
      <c r="C14" s="90" t="s">
        <v>12</v>
      </c>
      <c r="D14" s="91">
        <v>7500</v>
      </c>
      <c r="E14" s="92">
        <v>3</v>
      </c>
      <c r="F14" s="93">
        <f t="shared" si="0"/>
        <v>22500</v>
      </c>
    </row>
    <row r="15" spans="1:6" ht="15.6" thickBot="1">
      <c r="A15" s="9">
        <v>12</v>
      </c>
      <c r="B15" s="95" t="s">
        <v>6</v>
      </c>
      <c r="C15" s="95"/>
      <c r="D15" s="95"/>
      <c r="E15" s="96"/>
      <c r="F15" s="93">
        <f>SUM(F7:F14)</f>
        <v>207500</v>
      </c>
    </row>
    <row r="16" spans="1:6" ht="15.6" thickBot="1">
      <c r="A16" s="9">
        <v>13</v>
      </c>
      <c r="B16" s="97" t="s">
        <v>4</v>
      </c>
      <c r="C16" s="97"/>
      <c r="D16" s="97"/>
      <c r="E16" s="98"/>
      <c r="F16" s="93">
        <f>MAX(F7:F14)</f>
        <v>100000</v>
      </c>
    </row>
    <row r="17" spans="1:6" ht="15.6" thickBot="1">
      <c r="A17" s="9">
        <v>14</v>
      </c>
      <c r="B17" s="99" t="s">
        <v>5</v>
      </c>
      <c r="C17" s="99"/>
      <c r="D17" s="99"/>
      <c r="E17" s="100"/>
      <c r="F17" s="101">
        <f>MIN(F7:F14)</f>
        <v>9000</v>
      </c>
    </row>
    <row r="18" spans="1:6" ht="13.8" thickTop="1"/>
    <row r="19" spans="1:6" ht="15">
      <c r="B19" s="10" t="s">
        <v>24</v>
      </c>
    </row>
    <row r="20" spans="1:6" ht="15.6">
      <c r="B20" s="10" t="s">
        <v>928</v>
      </c>
    </row>
    <row r="21" spans="1:6" ht="15.6">
      <c r="B21" s="10" t="s">
        <v>171</v>
      </c>
    </row>
    <row r="22" spans="1:6" ht="15.6">
      <c r="B22" s="10" t="s">
        <v>172</v>
      </c>
    </row>
    <row r="23" spans="1:6" ht="15.6">
      <c r="B23" s="10" t="s">
        <v>173</v>
      </c>
    </row>
  </sheetData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CIBINONG&amp;C021- 87906787&amp;RLATIHAN EXCEL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B14" workbookViewId="0">
      <selection activeCell="I1" sqref="I1"/>
    </sheetView>
  </sheetViews>
  <sheetFormatPr defaultRowHeight="13.2"/>
  <cols>
    <col min="2" max="2" width="15.33203125" customWidth="1"/>
    <col min="3" max="3" width="11.88671875" customWidth="1"/>
    <col min="4" max="4" width="11.5546875" customWidth="1"/>
    <col min="5" max="5" width="12.44140625" customWidth="1"/>
    <col min="6" max="6" width="12.33203125" customWidth="1"/>
    <col min="7" max="7" width="13.109375" customWidth="1"/>
  </cols>
  <sheetData>
    <row r="1" spans="1:7" ht="16.2">
      <c r="A1" s="11" t="s">
        <v>63</v>
      </c>
    </row>
    <row r="3" spans="1:7">
      <c r="A3" s="586" t="s">
        <v>25</v>
      </c>
      <c r="B3" s="586"/>
      <c r="C3" s="586"/>
      <c r="D3" s="586"/>
      <c r="E3" s="586"/>
      <c r="F3" s="586"/>
      <c r="G3" s="586"/>
    </row>
    <row r="4" spans="1:7">
      <c r="A4" s="586" t="s">
        <v>26</v>
      </c>
      <c r="B4" s="586"/>
      <c r="C4" s="586"/>
      <c r="D4" s="586"/>
      <c r="E4" s="586"/>
      <c r="F4" s="586"/>
      <c r="G4" s="586"/>
    </row>
    <row r="5" spans="1:7" ht="13.8" thickBot="1">
      <c r="A5" s="594" t="s">
        <v>27</v>
      </c>
      <c r="B5" s="594"/>
      <c r="C5" s="594"/>
      <c r="D5" s="594"/>
      <c r="E5" s="594"/>
      <c r="F5" s="594"/>
      <c r="G5" s="594"/>
    </row>
    <row r="6" spans="1:7" ht="14.4" thickTop="1" thickBot="1">
      <c r="A6" s="595" t="s">
        <v>28</v>
      </c>
      <c r="B6" s="597" t="s">
        <v>23</v>
      </c>
      <c r="C6" s="601" t="s">
        <v>29</v>
      </c>
      <c r="D6" s="602"/>
      <c r="E6" s="602"/>
      <c r="F6" s="603"/>
      <c r="G6" s="599" t="s">
        <v>30</v>
      </c>
    </row>
    <row r="7" spans="1:7" ht="13.8" thickBot="1">
      <c r="A7" s="596"/>
      <c r="B7" s="598"/>
      <c r="C7" s="102" t="s">
        <v>31</v>
      </c>
      <c r="D7" s="102" t="s">
        <v>32</v>
      </c>
      <c r="E7" s="102" t="s">
        <v>33</v>
      </c>
      <c r="F7" s="102" t="s">
        <v>34</v>
      </c>
      <c r="G7" s="600"/>
    </row>
    <row r="8" spans="1:7" ht="25.2" thickBot="1">
      <c r="A8" s="105" t="s">
        <v>35</v>
      </c>
      <c r="B8" s="103" t="s">
        <v>36</v>
      </c>
      <c r="C8" s="104">
        <v>1000</v>
      </c>
      <c r="D8" s="104">
        <v>2200</v>
      </c>
      <c r="E8" s="104">
        <v>3000</v>
      </c>
      <c r="F8" s="104">
        <v>1000</v>
      </c>
      <c r="G8" s="365">
        <f>SUM(C8:F8)</f>
        <v>7200</v>
      </c>
    </row>
    <row r="9" spans="1:7" ht="25.8" thickBot="1">
      <c r="A9" s="105" t="s">
        <v>37</v>
      </c>
      <c r="B9" s="103" t="s">
        <v>38</v>
      </c>
      <c r="C9" s="104">
        <v>1500</v>
      </c>
      <c r="D9" s="104">
        <v>2500</v>
      </c>
      <c r="E9" s="104">
        <v>4200</v>
      </c>
      <c r="F9" s="104">
        <v>1200</v>
      </c>
      <c r="G9" s="365">
        <f t="shared" ref="G9:G23" si="0">SUM(C9:F9)</f>
        <v>9400</v>
      </c>
    </row>
    <row r="10" spans="1:7" ht="27.6" thickBot="1">
      <c r="A10" s="105" t="s">
        <v>39</v>
      </c>
      <c r="B10" s="103" t="s">
        <v>40</v>
      </c>
      <c r="C10" s="104">
        <v>2000</v>
      </c>
      <c r="D10" s="104">
        <v>3000</v>
      </c>
      <c r="E10" s="104">
        <v>4500</v>
      </c>
      <c r="F10" s="104">
        <v>1500</v>
      </c>
      <c r="G10" s="365">
        <f t="shared" si="0"/>
        <v>11000</v>
      </c>
    </row>
    <row r="11" spans="1:7" ht="26.4" thickBot="1">
      <c r="A11" s="105" t="s">
        <v>41</v>
      </c>
      <c r="B11" s="103" t="s">
        <v>42</v>
      </c>
      <c r="C11" s="104">
        <v>3000</v>
      </c>
      <c r="D11" s="104">
        <v>3200</v>
      </c>
      <c r="E11" s="104">
        <v>2300</v>
      </c>
      <c r="F11" s="104">
        <v>2000</v>
      </c>
      <c r="G11" s="365">
        <f t="shared" si="0"/>
        <v>10500</v>
      </c>
    </row>
    <row r="12" spans="1:7" ht="26.4" thickBot="1">
      <c r="A12" s="105" t="s">
        <v>43</v>
      </c>
      <c r="B12" s="103" t="s">
        <v>44</v>
      </c>
      <c r="C12" s="104">
        <v>4300</v>
      </c>
      <c r="D12" s="104">
        <v>4200</v>
      </c>
      <c r="E12" s="104">
        <v>3000</v>
      </c>
      <c r="F12" s="104">
        <v>2500</v>
      </c>
      <c r="G12" s="365">
        <f t="shared" si="0"/>
        <v>14000</v>
      </c>
    </row>
    <row r="13" spans="1:7" ht="25.8" thickBot="1">
      <c r="A13" s="105" t="s">
        <v>45</v>
      </c>
      <c r="B13" s="103" t="s">
        <v>46</v>
      </c>
      <c r="C13" s="104">
        <v>5000</v>
      </c>
      <c r="D13" s="104">
        <v>4300</v>
      </c>
      <c r="E13" s="104">
        <v>4000</v>
      </c>
      <c r="F13" s="104">
        <v>3000</v>
      </c>
      <c r="G13" s="365">
        <f t="shared" si="0"/>
        <v>16300</v>
      </c>
    </row>
    <row r="14" spans="1:7" ht="24.6" thickBot="1">
      <c r="A14" s="105" t="s">
        <v>47</v>
      </c>
      <c r="B14" s="103" t="s">
        <v>48</v>
      </c>
      <c r="C14" s="104">
        <v>6000</v>
      </c>
      <c r="D14" s="104">
        <v>5000</v>
      </c>
      <c r="E14" s="104">
        <v>5000</v>
      </c>
      <c r="F14" s="104">
        <v>2400</v>
      </c>
      <c r="G14" s="365">
        <f t="shared" si="0"/>
        <v>18400</v>
      </c>
    </row>
    <row r="15" spans="1:7" ht="27.6" thickBot="1">
      <c r="A15" s="105" t="s">
        <v>49</v>
      </c>
      <c r="B15" s="103" t="s">
        <v>50</v>
      </c>
      <c r="C15" s="104">
        <v>7200</v>
      </c>
      <c r="D15" s="104">
        <v>6300</v>
      </c>
      <c r="E15" s="104">
        <v>5500</v>
      </c>
      <c r="F15" s="104">
        <v>4500</v>
      </c>
      <c r="G15" s="365">
        <f t="shared" si="0"/>
        <v>23500</v>
      </c>
    </row>
    <row r="16" spans="1:7" ht="25.8" thickBot="1">
      <c r="A16" s="105" t="s">
        <v>51</v>
      </c>
      <c r="B16" s="103" t="s">
        <v>52</v>
      </c>
      <c r="C16" s="104">
        <v>3000</v>
      </c>
      <c r="D16" s="104">
        <v>7000</v>
      </c>
      <c r="E16" s="104">
        <v>6200</v>
      </c>
      <c r="F16" s="104">
        <v>4700</v>
      </c>
      <c r="G16" s="365">
        <f t="shared" si="0"/>
        <v>20900</v>
      </c>
    </row>
    <row r="17" spans="1:7" ht="27" thickBot="1">
      <c r="A17" s="105" t="s">
        <v>53</v>
      </c>
      <c r="B17" s="103" t="s">
        <v>54</v>
      </c>
      <c r="C17" s="104">
        <v>4000</v>
      </c>
      <c r="D17" s="104">
        <v>7200</v>
      </c>
      <c r="E17" s="104">
        <v>7100</v>
      </c>
      <c r="F17" s="104">
        <v>5000</v>
      </c>
      <c r="G17" s="365">
        <f t="shared" si="0"/>
        <v>23300</v>
      </c>
    </row>
    <row r="18" spans="1:7" ht="27.6" thickBot="1">
      <c r="A18" s="105" t="s">
        <v>55</v>
      </c>
      <c r="B18" s="103" t="s">
        <v>56</v>
      </c>
      <c r="C18" s="104">
        <v>7800</v>
      </c>
      <c r="D18" s="104">
        <v>8100</v>
      </c>
      <c r="E18" s="104">
        <v>7500</v>
      </c>
      <c r="F18" s="104">
        <v>5500</v>
      </c>
      <c r="G18" s="365">
        <f t="shared" si="0"/>
        <v>28900</v>
      </c>
    </row>
    <row r="19" spans="1:7" ht="27" thickBot="1">
      <c r="A19" s="105" t="s">
        <v>57</v>
      </c>
      <c r="B19" s="103" t="s">
        <v>58</v>
      </c>
      <c r="C19" s="104">
        <v>9000</v>
      </c>
      <c r="D19" s="104">
        <v>9000</v>
      </c>
      <c r="E19" s="104">
        <v>8000</v>
      </c>
      <c r="F19" s="104">
        <v>6100</v>
      </c>
      <c r="G19" s="365">
        <f t="shared" si="0"/>
        <v>32100</v>
      </c>
    </row>
    <row r="20" spans="1:7" ht="21" customHeight="1" thickBot="1">
      <c r="A20" s="106" t="s">
        <v>59</v>
      </c>
      <c r="B20" s="107"/>
      <c r="C20" s="104">
        <f>SUM(C8:C19)</f>
        <v>53800</v>
      </c>
      <c r="D20" s="104">
        <f>SUM(D8:D19)</f>
        <v>62000</v>
      </c>
      <c r="E20" s="104">
        <f>SUM(E8:E19)</f>
        <v>60300</v>
      </c>
      <c r="F20" s="104">
        <f>SUM(F8:F19)</f>
        <v>39400</v>
      </c>
      <c r="G20" s="365">
        <f t="shared" si="0"/>
        <v>215500</v>
      </c>
    </row>
    <row r="21" spans="1:7" ht="20.25" customHeight="1" thickBot="1">
      <c r="A21" s="106" t="s">
        <v>60</v>
      </c>
      <c r="B21" s="107"/>
      <c r="C21" s="104">
        <f>MAX(C8:C19)</f>
        <v>9000</v>
      </c>
      <c r="D21" s="104">
        <f t="shared" ref="D21:F21" si="1">MAX(D8:D19)</f>
        <v>9000</v>
      </c>
      <c r="E21" s="104">
        <f t="shared" si="1"/>
        <v>8000</v>
      </c>
      <c r="F21" s="104">
        <f t="shared" si="1"/>
        <v>6100</v>
      </c>
      <c r="G21" s="365">
        <f t="shared" si="0"/>
        <v>32100</v>
      </c>
    </row>
    <row r="22" spans="1:7" ht="18.75" customHeight="1" thickBot="1">
      <c r="A22" s="106" t="s">
        <v>61</v>
      </c>
      <c r="B22" s="107"/>
      <c r="C22" s="104">
        <f>MIN(C8:C19)</f>
        <v>1000</v>
      </c>
      <c r="D22" s="104">
        <f t="shared" ref="D22:F22" si="2">MIN(D8:D19)</f>
        <v>2200</v>
      </c>
      <c r="E22" s="104">
        <f t="shared" si="2"/>
        <v>2300</v>
      </c>
      <c r="F22" s="104">
        <f t="shared" si="2"/>
        <v>1000</v>
      </c>
      <c r="G22" s="365">
        <f t="shared" si="0"/>
        <v>6500</v>
      </c>
    </row>
    <row r="23" spans="1:7" ht="21" customHeight="1" thickBot="1">
      <c r="A23" s="108" t="s">
        <v>62</v>
      </c>
      <c r="B23" s="109"/>
      <c r="C23" s="567">
        <f>AVERAGE(C8:C19)</f>
        <v>4483.333333333333</v>
      </c>
      <c r="D23" s="567">
        <f t="shared" ref="D23:F23" si="3">AVERAGE(D8:D19)</f>
        <v>5166.666666666667</v>
      </c>
      <c r="E23" s="567">
        <f t="shared" si="3"/>
        <v>5025</v>
      </c>
      <c r="F23" s="567">
        <f t="shared" si="3"/>
        <v>3283.3333333333335</v>
      </c>
      <c r="G23" s="365">
        <f t="shared" si="0"/>
        <v>17958.333333333332</v>
      </c>
    </row>
    <row r="24" spans="1:7" ht="13.8" thickTop="1"/>
    <row r="26" spans="1:7">
      <c r="A26" s="12" t="s">
        <v>24</v>
      </c>
    </row>
    <row r="27" spans="1:7">
      <c r="A27" s="12" t="s">
        <v>174</v>
      </c>
      <c r="F27" s="22"/>
    </row>
    <row r="28" spans="1:7">
      <c r="A28" s="12" t="s">
        <v>175</v>
      </c>
    </row>
    <row r="29" spans="1:7">
      <c r="A29" s="12" t="s">
        <v>176</v>
      </c>
    </row>
    <row r="30" spans="1:7">
      <c r="A30" s="12" t="s">
        <v>177</v>
      </c>
    </row>
    <row r="31" spans="1:7">
      <c r="A31" s="12" t="s">
        <v>178</v>
      </c>
    </row>
  </sheetData>
  <mergeCells count="7">
    <mergeCell ref="A3:G3"/>
    <mergeCell ref="A4:G4"/>
    <mergeCell ref="A5:G5"/>
    <mergeCell ref="A6:A7"/>
    <mergeCell ref="B6:B7"/>
    <mergeCell ref="G6:G7"/>
    <mergeCell ref="C6:F6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D19" sqref="D19"/>
    </sheetView>
  </sheetViews>
  <sheetFormatPr defaultRowHeight="13.2"/>
  <cols>
    <col min="1" max="1" width="4.88671875" customWidth="1"/>
    <col min="2" max="2" width="10.6640625" customWidth="1"/>
    <col min="3" max="3" width="11.5546875" customWidth="1"/>
    <col min="4" max="4" width="19.88671875" customWidth="1"/>
  </cols>
  <sheetData>
    <row r="1" spans="1:4" ht="16.2">
      <c r="A1" s="11" t="s">
        <v>98</v>
      </c>
    </row>
    <row r="3" spans="1:4" ht="15">
      <c r="A3" s="604" t="s">
        <v>99</v>
      </c>
      <c r="B3" s="604"/>
      <c r="C3" s="604"/>
      <c r="D3" s="604"/>
    </row>
    <row r="4" spans="1:4" ht="19.2">
      <c r="A4" s="605" t="s">
        <v>100</v>
      </c>
      <c r="B4" s="605"/>
      <c r="C4" s="605"/>
      <c r="D4" s="605"/>
    </row>
    <row r="6" spans="1:4" ht="15.6" thickBot="1">
      <c r="A6" s="24" t="s">
        <v>101</v>
      </c>
      <c r="B6" s="24"/>
      <c r="C6" s="24"/>
      <c r="D6" s="25">
        <v>25000</v>
      </c>
    </row>
    <row r="7" spans="1:4" ht="15">
      <c r="A7" s="130" t="s">
        <v>2</v>
      </c>
      <c r="B7" s="131" t="s">
        <v>102</v>
      </c>
      <c r="C7" s="131" t="s">
        <v>115</v>
      </c>
      <c r="D7" s="132" t="s">
        <v>116</v>
      </c>
    </row>
    <row r="8" spans="1:4" ht="15">
      <c r="A8" s="129">
        <v>1</v>
      </c>
      <c r="B8" s="133" t="s">
        <v>103</v>
      </c>
      <c r="C8" s="134">
        <v>12</v>
      </c>
      <c r="D8" s="370">
        <f>C8*$D$6</f>
        <v>300000</v>
      </c>
    </row>
    <row r="9" spans="1:4" ht="15">
      <c r="A9" s="129">
        <v>2</v>
      </c>
      <c r="B9" s="133" t="s">
        <v>104</v>
      </c>
      <c r="C9" s="134">
        <v>24</v>
      </c>
      <c r="D9" s="370">
        <f t="shared" ref="D9:D15" si="0">C9*$D$6</f>
        <v>600000</v>
      </c>
    </row>
    <row r="10" spans="1:4" ht="15">
      <c r="A10" s="129">
        <v>3</v>
      </c>
      <c r="B10" s="133" t="s">
        <v>105</v>
      </c>
      <c r="C10" s="134">
        <v>18</v>
      </c>
      <c r="D10" s="370">
        <f t="shared" si="0"/>
        <v>450000</v>
      </c>
    </row>
    <row r="11" spans="1:4" ht="15">
      <c r="A11" s="129">
        <v>4</v>
      </c>
      <c r="B11" s="133" t="s">
        <v>106</v>
      </c>
      <c r="C11" s="134">
        <v>16</v>
      </c>
      <c r="D11" s="370">
        <f t="shared" si="0"/>
        <v>400000</v>
      </c>
    </row>
    <row r="12" spans="1:4" ht="15">
      <c r="A12" s="129">
        <v>5</v>
      </c>
      <c r="B12" s="133" t="s">
        <v>107</v>
      </c>
      <c r="C12" s="134">
        <v>16</v>
      </c>
      <c r="D12" s="370">
        <f t="shared" si="0"/>
        <v>400000</v>
      </c>
    </row>
    <row r="13" spans="1:4" ht="15">
      <c r="A13" s="129">
        <v>6</v>
      </c>
      <c r="B13" s="133" t="s">
        <v>108</v>
      </c>
      <c r="C13" s="134">
        <v>20</v>
      </c>
      <c r="D13" s="370">
        <f t="shared" si="0"/>
        <v>500000</v>
      </c>
    </row>
    <row r="14" spans="1:4" ht="15">
      <c r="A14" s="129">
        <v>7</v>
      </c>
      <c r="B14" s="133" t="s">
        <v>109</v>
      </c>
      <c r="C14" s="134">
        <v>10</v>
      </c>
      <c r="D14" s="370">
        <f t="shared" si="0"/>
        <v>250000</v>
      </c>
    </row>
    <row r="15" spans="1:4" ht="15.6" thickBot="1">
      <c r="A15" s="129">
        <v>8</v>
      </c>
      <c r="B15" s="133" t="s">
        <v>110</v>
      </c>
      <c r="C15" s="135">
        <v>24</v>
      </c>
      <c r="D15" s="370">
        <f t="shared" si="0"/>
        <v>600000</v>
      </c>
    </row>
    <row r="16" spans="1:4" ht="15.6" thickTop="1">
      <c r="A16" s="129" t="s">
        <v>111</v>
      </c>
      <c r="B16" s="136"/>
      <c r="C16" s="139"/>
      <c r="D16" s="370">
        <f>SUM(D8:D15)</f>
        <v>3500000</v>
      </c>
    </row>
    <row r="17" spans="1:4" ht="15">
      <c r="A17" s="129" t="s">
        <v>112</v>
      </c>
      <c r="B17" s="136"/>
      <c r="C17" s="140"/>
      <c r="D17" s="370">
        <f>MAX(D8:D15)</f>
        <v>600000</v>
      </c>
    </row>
    <row r="18" spans="1:4" ht="15">
      <c r="A18" s="129" t="s">
        <v>113</v>
      </c>
      <c r="B18" s="136"/>
      <c r="C18" s="140"/>
      <c r="D18" s="370">
        <f>MIN(D8:D15)</f>
        <v>250000</v>
      </c>
    </row>
    <row r="19" spans="1:4" ht="15.6" thickBot="1">
      <c r="A19" s="137" t="s">
        <v>114</v>
      </c>
      <c r="B19" s="138"/>
      <c r="C19" s="141"/>
      <c r="D19" s="370">
        <f>AVERAGE(D8:D15)</f>
        <v>437500</v>
      </c>
    </row>
    <row r="22" spans="1:4" ht="15">
      <c r="A22" s="23" t="s">
        <v>118</v>
      </c>
    </row>
    <row r="23" spans="1:4" ht="15.6">
      <c r="A23" s="23" t="s">
        <v>184</v>
      </c>
    </row>
    <row r="24" spans="1:4" ht="15">
      <c r="A24" s="23" t="s">
        <v>119</v>
      </c>
    </row>
    <row r="25" spans="1:4" ht="15.6">
      <c r="A25" s="23" t="s">
        <v>185</v>
      </c>
    </row>
    <row r="26" spans="1:4" ht="15.6">
      <c r="A26" s="23" t="s">
        <v>186</v>
      </c>
    </row>
    <row r="27" spans="1:4" ht="15.6">
      <c r="A27" s="23" t="s">
        <v>187</v>
      </c>
    </row>
    <row r="28" spans="1:4" ht="15.6">
      <c r="A28" s="23" t="s">
        <v>188</v>
      </c>
    </row>
  </sheetData>
  <mergeCells count="2">
    <mergeCell ref="A3:D3"/>
    <mergeCell ref="A4:D4"/>
  </mergeCells>
  <phoneticPr fontId="5" type="noConversion"/>
  <pageMargins left="1.79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G21" sqref="G21"/>
    </sheetView>
  </sheetViews>
  <sheetFormatPr defaultRowHeight="13.2"/>
  <cols>
    <col min="1" max="1" width="5.44140625" customWidth="1"/>
    <col min="2" max="2" width="5" customWidth="1"/>
    <col min="3" max="3" width="14.5546875" customWidth="1"/>
    <col min="4" max="4" width="8.88671875" customWidth="1"/>
    <col min="6" max="6" width="11.109375" bestFit="1" customWidth="1"/>
    <col min="7" max="7" width="11.5546875" customWidth="1"/>
    <col min="8" max="8" width="12" customWidth="1"/>
  </cols>
  <sheetData>
    <row r="1" spans="1:8" ht="16.2">
      <c r="A1" s="11" t="s">
        <v>120</v>
      </c>
    </row>
    <row r="3" spans="1:8" ht="20.399999999999999">
      <c r="B3" s="607" t="s">
        <v>121</v>
      </c>
      <c r="C3" s="607"/>
      <c r="D3" s="607"/>
      <c r="E3" s="607"/>
      <c r="F3" s="607"/>
      <c r="G3" s="607"/>
      <c r="H3" s="607"/>
    </row>
    <row r="4" spans="1:8" ht="17.399999999999999">
      <c r="B4" s="606" t="s">
        <v>122</v>
      </c>
      <c r="C4" s="606"/>
      <c r="D4" s="606"/>
      <c r="E4" s="606"/>
      <c r="F4" s="606"/>
      <c r="G4" s="606"/>
      <c r="H4" s="606"/>
    </row>
    <row r="6" spans="1:8">
      <c r="F6" t="s">
        <v>142</v>
      </c>
      <c r="H6" s="142">
        <v>12500</v>
      </c>
    </row>
    <row r="7" spans="1:8" ht="13.8" thickBot="1">
      <c r="F7" t="s">
        <v>141</v>
      </c>
      <c r="H7" s="143">
        <v>10000</v>
      </c>
    </row>
    <row r="8" spans="1:8" ht="26.4">
      <c r="B8" s="146" t="s">
        <v>2</v>
      </c>
      <c r="C8" s="147" t="s">
        <v>68</v>
      </c>
      <c r="D8" s="147" t="s">
        <v>135</v>
      </c>
      <c r="E8" s="147" t="s">
        <v>139</v>
      </c>
      <c r="F8" s="147" t="s">
        <v>136</v>
      </c>
      <c r="G8" s="147" t="s">
        <v>137</v>
      </c>
      <c r="H8" s="148" t="s">
        <v>138</v>
      </c>
    </row>
    <row r="9" spans="1:8">
      <c r="B9" s="153">
        <v>1</v>
      </c>
      <c r="C9" s="15" t="s">
        <v>123</v>
      </c>
      <c r="D9" s="155">
        <v>5</v>
      </c>
      <c r="E9" s="26">
        <v>4</v>
      </c>
      <c r="F9" s="568">
        <f>D9*$H$6</f>
        <v>62500</v>
      </c>
      <c r="G9" s="544">
        <f>D9*$H$7</f>
        <v>50000</v>
      </c>
      <c r="H9" s="569">
        <f>F9+G9</f>
        <v>112500</v>
      </c>
    </row>
    <row r="10" spans="1:8">
      <c r="B10" s="153">
        <v>2</v>
      </c>
      <c r="C10" s="15" t="s">
        <v>124</v>
      </c>
      <c r="D10" s="155">
        <v>2</v>
      </c>
      <c r="E10" s="26">
        <v>2</v>
      </c>
      <c r="F10" s="568">
        <f t="shared" ref="F10:F20" si="0">D10*$H$6</f>
        <v>25000</v>
      </c>
      <c r="G10" s="544">
        <f t="shared" ref="G10:G20" si="1">D10*$H$7</f>
        <v>20000</v>
      </c>
      <c r="H10" s="569">
        <f t="shared" ref="H10:H20" si="2">F10+G10</f>
        <v>45000</v>
      </c>
    </row>
    <row r="11" spans="1:8">
      <c r="B11" s="153">
        <v>3</v>
      </c>
      <c r="C11" s="15" t="s">
        <v>125</v>
      </c>
      <c r="D11" s="155">
        <v>4</v>
      </c>
      <c r="E11" s="26">
        <v>2</v>
      </c>
      <c r="F11" s="568">
        <f t="shared" si="0"/>
        <v>50000</v>
      </c>
      <c r="G11" s="544">
        <f t="shared" si="1"/>
        <v>40000</v>
      </c>
      <c r="H11" s="569">
        <f t="shared" si="2"/>
        <v>90000</v>
      </c>
    </row>
    <row r="12" spans="1:8">
      <c r="B12" s="153">
        <v>4</v>
      </c>
      <c r="C12" s="15" t="s">
        <v>126</v>
      </c>
      <c r="D12" s="155">
        <v>6</v>
      </c>
      <c r="E12" s="26">
        <v>0</v>
      </c>
      <c r="F12" s="568">
        <f t="shared" si="0"/>
        <v>75000</v>
      </c>
      <c r="G12" s="544">
        <f t="shared" si="1"/>
        <v>60000</v>
      </c>
      <c r="H12" s="569">
        <f t="shared" si="2"/>
        <v>135000</v>
      </c>
    </row>
    <row r="13" spans="1:8">
      <c r="B13" s="153">
        <v>5</v>
      </c>
      <c r="C13" s="15" t="s">
        <v>127</v>
      </c>
      <c r="D13" s="155">
        <v>5</v>
      </c>
      <c r="E13" s="26">
        <v>0</v>
      </c>
      <c r="F13" s="568">
        <f t="shared" si="0"/>
        <v>62500</v>
      </c>
      <c r="G13" s="544">
        <f t="shared" si="1"/>
        <v>50000</v>
      </c>
      <c r="H13" s="569">
        <f t="shared" si="2"/>
        <v>112500</v>
      </c>
    </row>
    <row r="14" spans="1:8">
      <c r="B14" s="153">
        <v>6</v>
      </c>
      <c r="C14" s="15" t="s">
        <v>128</v>
      </c>
      <c r="D14" s="155">
        <v>4</v>
      </c>
      <c r="E14" s="26">
        <v>1</v>
      </c>
      <c r="F14" s="568">
        <f t="shared" si="0"/>
        <v>50000</v>
      </c>
      <c r="G14" s="544">
        <f t="shared" si="1"/>
        <v>40000</v>
      </c>
      <c r="H14" s="569">
        <f t="shared" si="2"/>
        <v>90000</v>
      </c>
    </row>
    <row r="15" spans="1:8">
      <c r="B15" s="153">
        <v>7</v>
      </c>
      <c r="C15" s="15" t="s">
        <v>129</v>
      </c>
      <c r="D15" s="155">
        <v>5</v>
      </c>
      <c r="E15" s="26">
        <v>4</v>
      </c>
      <c r="F15" s="568">
        <f t="shared" si="0"/>
        <v>62500</v>
      </c>
      <c r="G15" s="544">
        <f t="shared" si="1"/>
        <v>50000</v>
      </c>
      <c r="H15" s="569">
        <f t="shared" si="2"/>
        <v>112500</v>
      </c>
    </row>
    <row r="16" spans="1:8">
      <c r="B16" s="153">
        <v>8</v>
      </c>
      <c r="C16" s="15" t="s">
        <v>130</v>
      </c>
      <c r="D16" s="155">
        <v>6</v>
      </c>
      <c r="E16" s="26">
        <v>2</v>
      </c>
      <c r="F16" s="568">
        <f t="shared" si="0"/>
        <v>75000</v>
      </c>
      <c r="G16" s="544">
        <f t="shared" si="1"/>
        <v>60000</v>
      </c>
      <c r="H16" s="569">
        <f t="shared" si="2"/>
        <v>135000</v>
      </c>
    </row>
    <row r="17" spans="1:8">
      <c r="B17" s="153">
        <v>9</v>
      </c>
      <c r="C17" s="15" t="s">
        <v>131</v>
      </c>
      <c r="D17" s="155">
        <v>5</v>
      </c>
      <c r="E17" s="26">
        <v>1</v>
      </c>
      <c r="F17" s="568">
        <f t="shared" si="0"/>
        <v>62500</v>
      </c>
      <c r="G17" s="544">
        <f t="shared" si="1"/>
        <v>50000</v>
      </c>
      <c r="H17" s="569">
        <f t="shared" si="2"/>
        <v>112500</v>
      </c>
    </row>
    <row r="18" spans="1:8">
      <c r="B18" s="153">
        <v>10</v>
      </c>
      <c r="C18" s="15" t="s">
        <v>132</v>
      </c>
      <c r="D18" s="155">
        <v>3</v>
      </c>
      <c r="E18" s="26">
        <v>5</v>
      </c>
      <c r="F18" s="568">
        <f t="shared" si="0"/>
        <v>37500</v>
      </c>
      <c r="G18" s="544">
        <f t="shared" si="1"/>
        <v>30000</v>
      </c>
      <c r="H18" s="569">
        <f t="shared" si="2"/>
        <v>67500</v>
      </c>
    </row>
    <row r="19" spans="1:8">
      <c r="B19" s="153">
        <v>11</v>
      </c>
      <c r="C19" s="15" t="s">
        <v>133</v>
      </c>
      <c r="D19" s="155">
        <v>4</v>
      </c>
      <c r="E19" s="26">
        <v>2</v>
      </c>
      <c r="F19" s="568">
        <f t="shared" si="0"/>
        <v>50000</v>
      </c>
      <c r="G19" s="544">
        <f t="shared" si="1"/>
        <v>40000</v>
      </c>
      <c r="H19" s="569">
        <f t="shared" si="2"/>
        <v>90000</v>
      </c>
    </row>
    <row r="20" spans="1:8" ht="13.8" thickBot="1">
      <c r="B20" s="154">
        <v>12</v>
      </c>
      <c r="C20" s="18" t="s">
        <v>134</v>
      </c>
      <c r="D20" s="156">
        <v>5</v>
      </c>
      <c r="E20" s="27">
        <v>5</v>
      </c>
      <c r="F20" s="568">
        <f t="shared" si="0"/>
        <v>62500</v>
      </c>
      <c r="G20" s="544">
        <f t="shared" si="1"/>
        <v>50000</v>
      </c>
      <c r="H20" s="569">
        <f t="shared" si="2"/>
        <v>112500</v>
      </c>
    </row>
    <row r="21" spans="1:8" ht="14.4" thickTop="1" thickBot="1">
      <c r="B21" s="149" t="s">
        <v>140</v>
      </c>
      <c r="C21" s="150"/>
      <c r="D21" s="151"/>
      <c r="E21" s="152"/>
      <c r="F21" s="570">
        <f>SUM(F9:F20)</f>
        <v>675000</v>
      </c>
      <c r="G21" s="570">
        <f>SUM(G9:G20)</f>
        <v>540000</v>
      </c>
      <c r="H21" s="571">
        <f>SUM(H9:H20)</f>
        <v>1215000</v>
      </c>
    </row>
    <row r="23" spans="1:8">
      <c r="A23" t="s">
        <v>24</v>
      </c>
    </row>
    <row r="24" spans="1:8">
      <c r="A24" t="s">
        <v>189</v>
      </c>
    </row>
    <row r="25" spans="1:8">
      <c r="A25" t="s">
        <v>190</v>
      </c>
    </row>
    <row r="26" spans="1:8">
      <c r="A26" t="s">
        <v>191</v>
      </c>
    </row>
  </sheetData>
  <mergeCells count="2">
    <mergeCell ref="B4:H4"/>
    <mergeCell ref="B3:H3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CIBINONG&amp;C021-87906767&amp;RLATIHAN EXCEL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zoomScale="90" zoomScaleNormal="90" workbookViewId="0">
      <selection activeCell="G29" sqref="G29"/>
    </sheetView>
  </sheetViews>
  <sheetFormatPr defaultRowHeight="13.2"/>
  <cols>
    <col min="1" max="1" width="12" bestFit="1" customWidth="1"/>
    <col min="2" max="2" width="11.77734375" bestFit="1" customWidth="1"/>
    <col min="3" max="3" width="9.109375" bestFit="1" customWidth="1"/>
    <col min="4" max="4" width="14" bestFit="1" customWidth="1"/>
    <col min="5" max="5" width="21.5546875" bestFit="1" customWidth="1"/>
    <col min="6" max="6" width="16" bestFit="1" customWidth="1"/>
    <col min="7" max="7" width="12.33203125" bestFit="1" customWidth="1"/>
    <col min="8" max="8" width="14" bestFit="1" customWidth="1"/>
  </cols>
  <sheetData>
    <row r="1" spans="1:8" ht="16.2">
      <c r="A1" s="11" t="s">
        <v>143</v>
      </c>
    </row>
    <row r="3" spans="1:8" ht="18.600000000000001">
      <c r="A3" s="614" t="s">
        <v>144</v>
      </c>
      <c r="B3" s="614"/>
      <c r="C3" s="614"/>
      <c r="D3" s="614"/>
      <c r="E3" s="614"/>
      <c r="F3" s="614"/>
      <c r="G3" s="614"/>
      <c r="H3" s="614"/>
    </row>
    <row r="4" spans="1:8" ht="25.8">
      <c r="A4" s="615" t="s">
        <v>145</v>
      </c>
      <c r="B4" s="615"/>
      <c r="C4" s="615"/>
      <c r="D4" s="615"/>
      <c r="E4" s="615"/>
      <c r="F4" s="615"/>
      <c r="G4" s="615"/>
      <c r="H4" s="615"/>
    </row>
    <row r="5" spans="1:8">
      <c r="A5" s="616" t="s">
        <v>146</v>
      </c>
      <c r="B5" s="616"/>
      <c r="C5" s="616"/>
      <c r="D5" s="616"/>
      <c r="E5" s="616"/>
      <c r="F5" s="616"/>
      <c r="G5" s="616"/>
      <c r="H5" s="616"/>
    </row>
    <row r="7" spans="1:8" ht="13.8" thickBot="1">
      <c r="A7" t="s">
        <v>147</v>
      </c>
      <c r="C7" s="22">
        <v>8500</v>
      </c>
    </row>
    <row r="8" spans="1:8">
      <c r="A8" s="617" t="s">
        <v>2</v>
      </c>
      <c r="B8" s="619" t="s">
        <v>148</v>
      </c>
      <c r="C8" s="612" t="s">
        <v>149</v>
      </c>
      <c r="D8" s="613"/>
      <c r="E8" s="608" t="s">
        <v>152</v>
      </c>
      <c r="F8" s="608" t="s">
        <v>153</v>
      </c>
      <c r="G8" s="608" t="s">
        <v>154</v>
      </c>
      <c r="H8" s="610" t="s">
        <v>155</v>
      </c>
    </row>
    <row r="9" spans="1:8">
      <c r="A9" s="618"/>
      <c r="B9" s="609"/>
      <c r="C9" s="157" t="s">
        <v>150</v>
      </c>
      <c r="D9" s="157" t="s">
        <v>151</v>
      </c>
      <c r="E9" s="609"/>
      <c r="F9" s="609"/>
      <c r="G9" s="609"/>
      <c r="H9" s="611"/>
    </row>
    <row r="10" spans="1:8">
      <c r="A10" s="14">
        <v>1</v>
      </c>
      <c r="B10" s="28" t="s">
        <v>156</v>
      </c>
      <c r="C10" s="26">
        <v>520</v>
      </c>
      <c r="D10" s="580">
        <f>C10*$C$7</f>
        <v>4420000</v>
      </c>
      <c r="E10" s="581">
        <f>D10+(D10*0.2)</f>
        <v>5304000</v>
      </c>
      <c r="F10" s="580">
        <f>E10*0.05</f>
        <v>265200</v>
      </c>
      <c r="G10" s="581">
        <f>(E10+F10)*0.1</f>
        <v>556920</v>
      </c>
      <c r="H10" s="580">
        <f>SUM(E10:G10)</f>
        <v>6126120</v>
      </c>
    </row>
    <row r="11" spans="1:8">
      <c r="A11" s="14">
        <v>2</v>
      </c>
      <c r="B11" s="28" t="s">
        <v>157</v>
      </c>
      <c r="C11" s="26">
        <v>180</v>
      </c>
      <c r="D11" s="580">
        <f t="shared" ref="D11:D19" si="0">C11*$C$7</f>
        <v>1530000</v>
      </c>
      <c r="E11" s="581">
        <f t="shared" ref="E11:E19" si="1">D11+(D11*0.2)</f>
        <v>1836000</v>
      </c>
      <c r="F11" s="580">
        <f t="shared" ref="F11:F19" si="2">E11*0.05</f>
        <v>91800</v>
      </c>
      <c r="G11" s="581">
        <f t="shared" ref="G11:G19" si="3">(E11+F11)*0.1</f>
        <v>192780</v>
      </c>
      <c r="H11" s="580">
        <f t="shared" ref="H11:H19" si="4">SUM(E11:G11)</f>
        <v>2120580</v>
      </c>
    </row>
    <row r="12" spans="1:8">
      <c r="A12" s="14">
        <v>3</v>
      </c>
      <c r="B12" s="28" t="s">
        <v>158</v>
      </c>
      <c r="C12" s="26">
        <v>200</v>
      </c>
      <c r="D12" s="580">
        <f t="shared" si="0"/>
        <v>1700000</v>
      </c>
      <c r="E12" s="581">
        <f t="shared" si="1"/>
        <v>2040000</v>
      </c>
      <c r="F12" s="580">
        <f t="shared" si="2"/>
        <v>102000</v>
      </c>
      <c r="G12" s="581">
        <f t="shared" si="3"/>
        <v>214200</v>
      </c>
      <c r="H12" s="580">
        <f t="shared" si="4"/>
        <v>2356200</v>
      </c>
    </row>
    <row r="13" spans="1:8">
      <c r="A13" s="14">
        <v>4</v>
      </c>
      <c r="B13" s="28" t="s">
        <v>159</v>
      </c>
      <c r="C13" s="26">
        <v>105</v>
      </c>
      <c r="D13" s="580">
        <f t="shared" si="0"/>
        <v>892500</v>
      </c>
      <c r="E13" s="581">
        <f t="shared" si="1"/>
        <v>1071000</v>
      </c>
      <c r="F13" s="580">
        <f t="shared" si="2"/>
        <v>53550</v>
      </c>
      <c r="G13" s="581">
        <f t="shared" si="3"/>
        <v>112455</v>
      </c>
      <c r="H13" s="580">
        <f t="shared" si="4"/>
        <v>1237005</v>
      </c>
    </row>
    <row r="14" spans="1:8">
      <c r="A14" s="14">
        <v>5</v>
      </c>
      <c r="B14" s="28" t="s">
        <v>160</v>
      </c>
      <c r="C14" s="26">
        <v>110</v>
      </c>
      <c r="D14" s="580">
        <f t="shared" si="0"/>
        <v>935000</v>
      </c>
      <c r="E14" s="581">
        <f t="shared" si="1"/>
        <v>1122000</v>
      </c>
      <c r="F14" s="580">
        <f t="shared" si="2"/>
        <v>56100</v>
      </c>
      <c r="G14" s="581">
        <f t="shared" si="3"/>
        <v>117810</v>
      </c>
      <c r="H14" s="580">
        <f t="shared" si="4"/>
        <v>1295910</v>
      </c>
    </row>
    <row r="15" spans="1:8">
      <c r="A15" s="14">
        <v>6</v>
      </c>
      <c r="B15" s="28" t="s">
        <v>161</v>
      </c>
      <c r="C15" s="26">
        <v>150</v>
      </c>
      <c r="D15" s="580">
        <f t="shared" si="0"/>
        <v>1275000</v>
      </c>
      <c r="E15" s="581">
        <f t="shared" si="1"/>
        <v>1530000</v>
      </c>
      <c r="F15" s="580">
        <f t="shared" si="2"/>
        <v>76500</v>
      </c>
      <c r="G15" s="581">
        <f t="shared" si="3"/>
        <v>160650</v>
      </c>
      <c r="H15" s="580">
        <f t="shared" si="4"/>
        <v>1767150</v>
      </c>
    </row>
    <row r="16" spans="1:8">
      <c r="A16" s="14">
        <v>7</v>
      </c>
      <c r="B16" s="28" t="s">
        <v>162</v>
      </c>
      <c r="C16" s="26">
        <v>170</v>
      </c>
      <c r="D16" s="580">
        <f t="shared" si="0"/>
        <v>1445000</v>
      </c>
      <c r="E16" s="581">
        <f t="shared" si="1"/>
        <v>1734000</v>
      </c>
      <c r="F16" s="580">
        <f t="shared" si="2"/>
        <v>86700</v>
      </c>
      <c r="G16" s="581">
        <f t="shared" si="3"/>
        <v>182070</v>
      </c>
      <c r="H16" s="580">
        <f t="shared" si="4"/>
        <v>2002770</v>
      </c>
    </row>
    <row r="17" spans="1:8">
      <c r="A17" s="14">
        <v>8</v>
      </c>
      <c r="B17" s="28" t="s">
        <v>163</v>
      </c>
      <c r="C17" s="26">
        <v>200</v>
      </c>
      <c r="D17" s="580">
        <f t="shared" si="0"/>
        <v>1700000</v>
      </c>
      <c r="E17" s="581">
        <f t="shared" si="1"/>
        <v>2040000</v>
      </c>
      <c r="F17" s="580">
        <f t="shared" si="2"/>
        <v>102000</v>
      </c>
      <c r="G17" s="581">
        <f t="shared" si="3"/>
        <v>214200</v>
      </c>
      <c r="H17" s="580">
        <f t="shared" si="4"/>
        <v>2356200</v>
      </c>
    </row>
    <row r="18" spans="1:8">
      <c r="A18" s="14">
        <v>9</v>
      </c>
      <c r="B18" s="28" t="s">
        <v>164</v>
      </c>
      <c r="C18" s="26">
        <v>15</v>
      </c>
      <c r="D18" s="580">
        <f t="shared" si="0"/>
        <v>127500</v>
      </c>
      <c r="E18" s="581">
        <f t="shared" si="1"/>
        <v>153000</v>
      </c>
      <c r="F18" s="580">
        <f t="shared" si="2"/>
        <v>7650</v>
      </c>
      <c r="G18" s="581">
        <f t="shared" si="3"/>
        <v>16065</v>
      </c>
      <c r="H18" s="580">
        <f t="shared" si="4"/>
        <v>176715</v>
      </c>
    </row>
    <row r="19" spans="1:8" ht="13.8" thickBot="1">
      <c r="A19" s="17">
        <v>10</v>
      </c>
      <c r="B19" s="29" t="s">
        <v>165</v>
      </c>
      <c r="C19" s="30">
        <v>20</v>
      </c>
      <c r="D19" s="580">
        <f t="shared" si="0"/>
        <v>170000</v>
      </c>
      <c r="E19" s="581">
        <f t="shared" si="1"/>
        <v>204000</v>
      </c>
      <c r="F19" s="580">
        <f t="shared" si="2"/>
        <v>10200</v>
      </c>
      <c r="G19" s="581">
        <f t="shared" si="3"/>
        <v>21420</v>
      </c>
      <c r="H19" s="580">
        <f t="shared" si="4"/>
        <v>235620</v>
      </c>
    </row>
    <row r="22" spans="1:8">
      <c r="A22" s="13" t="s">
        <v>24</v>
      </c>
    </row>
    <row r="23" spans="1:8" ht="15">
      <c r="A23" s="23" t="s">
        <v>166</v>
      </c>
      <c r="B23" s="23"/>
      <c r="C23" s="23"/>
      <c r="D23" s="23"/>
      <c r="E23" s="23"/>
    </row>
    <row r="24" spans="1:8" ht="15">
      <c r="A24" s="23" t="s">
        <v>167</v>
      </c>
      <c r="B24" s="23"/>
      <c r="C24" s="23"/>
      <c r="D24" s="23"/>
      <c r="E24" s="23"/>
    </row>
    <row r="25" spans="1:8" ht="15">
      <c r="A25" s="23" t="s">
        <v>168</v>
      </c>
      <c r="B25" s="23"/>
      <c r="C25" s="23"/>
      <c r="D25" s="23"/>
      <c r="E25" s="23"/>
    </row>
    <row r="26" spans="1:8" ht="15">
      <c r="A26" s="23" t="s">
        <v>169</v>
      </c>
      <c r="B26" s="23"/>
      <c r="C26" s="23"/>
      <c r="D26" s="23"/>
      <c r="E26" s="23"/>
    </row>
    <row r="27" spans="1:8" ht="15">
      <c r="A27" s="23" t="s">
        <v>170</v>
      </c>
      <c r="B27" s="23"/>
      <c r="C27" s="23"/>
      <c r="D27" s="23"/>
      <c r="E27" s="23"/>
    </row>
  </sheetData>
  <mergeCells count="10">
    <mergeCell ref="G8:G9"/>
    <mergeCell ref="H8:H9"/>
    <mergeCell ref="C8:D8"/>
    <mergeCell ref="A3:H3"/>
    <mergeCell ref="A4:H4"/>
    <mergeCell ref="A5:H5"/>
    <mergeCell ref="A8:A9"/>
    <mergeCell ref="B8:B9"/>
    <mergeCell ref="E8:E9"/>
    <mergeCell ref="F8:F9"/>
  </mergeCells>
  <phoneticPr fontId="5" type="noConversion"/>
  <conditionalFormatting sqref="A8:H19">
    <cfRule type="colorScale" priority="1">
      <colorScale>
        <cfvo type="min"/>
        <cfvo type="max"/>
        <color rgb="FFFFEF9C"/>
        <color rgb="FFFF7128"/>
      </colorScale>
    </cfRule>
  </conditionalFormatting>
  <pageMargins left="0.75" right="0.75" top="1" bottom="1" header="0.5" footer="0.5"/>
  <pageSetup orientation="portrait" horizontalDpi="4294967293" verticalDpi="4294967293" r:id="rId1"/>
  <headerFooter alignWithMargins="0">
    <oddFooter>&amp;LLPIA CIBINONG&amp;C021- 87906767&amp;RLATIHAN EXCEL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activeCell="H15" sqref="H15"/>
    </sheetView>
  </sheetViews>
  <sheetFormatPr defaultRowHeight="13.2"/>
  <cols>
    <col min="1" max="1" width="6" customWidth="1"/>
    <col min="2" max="2" width="13.6640625" customWidth="1"/>
    <col min="3" max="3" width="11.88671875" customWidth="1"/>
    <col min="4" max="4" width="17.6640625" customWidth="1"/>
    <col min="5" max="5" width="10.88671875" customWidth="1"/>
    <col min="6" max="6" width="17.33203125" customWidth="1"/>
    <col min="7" max="7" width="14.5546875" customWidth="1"/>
    <col min="8" max="8" width="20.44140625" customWidth="1"/>
  </cols>
  <sheetData>
    <row r="1" spans="1:8" ht="16.2">
      <c r="A1" s="11" t="s">
        <v>192</v>
      </c>
    </row>
    <row r="3" spans="1:8" ht="15.6">
      <c r="B3" s="622" t="s">
        <v>193</v>
      </c>
      <c r="C3" s="622"/>
      <c r="D3" s="622"/>
      <c r="E3" s="622"/>
      <c r="F3" s="622"/>
      <c r="G3" s="622"/>
      <c r="H3" s="622"/>
    </row>
    <row r="4" spans="1:8" ht="15.6">
      <c r="B4" s="622" t="s">
        <v>212</v>
      </c>
      <c r="C4" s="622"/>
      <c r="D4" s="622"/>
      <c r="E4" s="622"/>
      <c r="F4" s="622"/>
      <c r="G4" s="622"/>
      <c r="H4" s="622"/>
    </row>
    <row r="5" spans="1:8">
      <c r="B5" s="586" t="s">
        <v>194</v>
      </c>
      <c r="C5" s="586"/>
      <c r="D5" s="586"/>
      <c r="E5" s="586"/>
      <c r="F5" s="586"/>
      <c r="G5" s="586"/>
      <c r="H5" s="586"/>
    </row>
    <row r="6" spans="1:8" ht="13.8" thickBot="1"/>
    <row r="7" spans="1:8" ht="16.2" thickTop="1">
      <c r="A7" s="9"/>
      <c r="B7" s="208" t="s">
        <v>102</v>
      </c>
      <c r="C7" s="209" t="s">
        <v>195</v>
      </c>
      <c r="D7" s="620" t="s">
        <v>69</v>
      </c>
      <c r="E7" s="209" t="s">
        <v>196</v>
      </c>
      <c r="F7" s="209" t="s">
        <v>197</v>
      </c>
      <c r="G7" s="620" t="s">
        <v>201</v>
      </c>
      <c r="H7" s="210" t="s">
        <v>197</v>
      </c>
    </row>
    <row r="8" spans="1:8" ht="16.2" thickBot="1">
      <c r="A8" s="9"/>
      <c r="B8" s="211" t="s">
        <v>198</v>
      </c>
      <c r="C8" s="212" t="s">
        <v>198</v>
      </c>
      <c r="D8" s="621"/>
      <c r="E8" s="212" t="s">
        <v>199</v>
      </c>
      <c r="F8" s="212" t="s">
        <v>200</v>
      </c>
      <c r="G8" s="621"/>
      <c r="H8" s="213" t="s">
        <v>202</v>
      </c>
    </row>
    <row r="9" spans="1:8" ht="15.6" thickBot="1">
      <c r="A9" s="9"/>
      <c r="B9" s="161" t="s">
        <v>203</v>
      </c>
      <c r="C9" s="163" t="s">
        <v>207</v>
      </c>
      <c r="D9" s="164" t="str">
        <f>IF(C9="KT","Karyawan Tetap","Karyawan Harian")</f>
        <v>Karyawan Tetap</v>
      </c>
      <c r="E9" s="163">
        <v>27</v>
      </c>
      <c r="F9" s="165">
        <f>IF(D9="Karyawan Tetap",3000000,2000000)</f>
        <v>3000000</v>
      </c>
      <c r="G9" s="371">
        <f>IF(E9&gt;=25,F9*15%, 0)</f>
        <v>450000</v>
      </c>
      <c r="H9" s="166">
        <f>F9+G9</f>
        <v>3450000</v>
      </c>
    </row>
    <row r="10" spans="1:8" ht="15.6" thickBot="1">
      <c r="A10" s="9"/>
      <c r="B10" s="161" t="s">
        <v>204</v>
      </c>
      <c r="C10" s="163" t="s">
        <v>205</v>
      </c>
      <c r="D10" s="164" t="str">
        <f>IF(C10="KT","Karyawan Tetap","Karyawan Harian")</f>
        <v>Karyawan Harian</v>
      </c>
      <c r="E10" s="163">
        <v>23</v>
      </c>
      <c r="F10" s="165">
        <f>IF(D10="Karyawan Tetap",3000000,2000000)</f>
        <v>2000000</v>
      </c>
      <c r="G10" s="371">
        <f t="shared" ref="G10:G13" si="0">IF(E10&gt;=25,F10*15%, 0)</f>
        <v>0</v>
      </c>
      <c r="H10" s="166">
        <f>F10+G10</f>
        <v>2000000</v>
      </c>
    </row>
    <row r="11" spans="1:8" ht="15.6" thickBot="1">
      <c r="A11" s="9"/>
      <c r="B11" s="161" t="s">
        <v>206</v>
      </c>
      <c r="C11" s="163" t="s">
        <v>207</v>
      </c>
      <c r="D11" s="164" t="str">
        <f>IF(C11="KT","Karyawan Tetap","Karyawan Harian")</f>
        <v>Karyawan Tetap</v>
      </c>
      <c r="E11" s="163">
        <v>28</v>
      </c>
      <c r="F11" s="165">
        <f>IF(D11="Karyawan Tetap",3000000,2000000)</f>
        <v>3000000</v>
      </c>
      <c r="G11" s="371">
        <f t="shared" si="0"/>
        <v>450000</v>
      </c>
      <c r="H11" s="166">
        <f>F11+G11</f>
        <v>3450000</v>
      </c>
    </row>
    <row r="12" spans="1:8" ht="15.6" thickBot="1">
      <c r="A12" s="9"/>
      <c r="B12" s="161" t="s">
        <v>208</v>
      </c>
      <c r="C12" s="163" t="s">
        <v>205</v>
      </c>
      <c r="D12" s="164" t="str">
        <f>IF(C12="KT","Karyawan Tetap","Karyawan Harian")</f>
        <v>Karyawan Harian</v>
      </c>
      <c r="E12" s="163">
        <v>29</v>
      </c>
      <c r="F12" s="165">
        <f>IF(D12="Karyawan Tetap",3000000,2000000)</f>
        <v>2000000</v>
      </c>
      <c r="G12" s="371">
        <f t="shared" si="0"/>
        <v>300000</v>
      </c>
      <c r="H12" s="166">
        <f>F12+G12</f>
        <v>2300000</v>
      </c>
    </row>
    <row r="13" spans="1:8" ht="15.6" thickBot="1">
      <c r="A13" s="9"/>
      <c r="B13" s="161" t="s">
        <v>209</v>
      </c>
      <c r="C13" s="163" t="s">
        <v>207</v>
      </c>
      <c r="D13" s="164" t="str">
        <f>IF(C13="KT","Karyawan Tetap","Karyawan Harian")</f>
        <v>Karyawan Tetap</v>
      </c>
      <c r="E13" s="167">
        <v>24</v>
      </c>
      <c r="F13" s="165">
        <f>IF(D13="Karyawan Tetap",3000000,2000000)</f>
        <v>3000000</v>
      </c>
      <c r="G13" s="371">
        <f t="shared" si="0"/>
        <v>0</v>
      </c>
      <c r="H13" s="166">
        <f>F13+G13</f>
        <v>3000000</v>
      </c>
    </row>
    <row r="14" spans="1:8" ht="15.6" thickBot="1">
      <c r="A14" s="9"/>
      <c r="B14" s="168"/>
      <c r="C14" s="169"/>
      <c r="D14" s="169"/>
      <c r="E14" s="169"/>
      <c r="F14" s="170"/>
      <c r="G14" s="160" t="s">
        <v>210</v>
      </c>
      <c r="H14" s="162">
        <f>SUM(H9:H13)</f>
        <v>14200000</v>
      </c>
    </row>
    <row r="15" spans="1:8" ht="15.6" thickBot="1">
      <c r="A15" s="9"/>
      <c r="B15" s="171"/>
      <c r="C15" s="172"/>
      <c r="D15" s="172"/>
      <c r="E15" s="172"/>
      <c r="F15" s="173"/>
      <c r="G15" s="174" t="s">
        <v>211</v>
      </c>
      <c r="H15" s="162">
        <f>AVERAGE(H9:H13)</f>
        <v>2840000</v>
      </c>
    </row>
    <row r="16" spans="1:8">
      <c r="B16" s="31"/>
      <c r="C16" s="31"/>
      <c r="D16" s="31"/>
      <c r="E16" s="31"/>
      <c r="F16" s="31"/>
      <c r="G16" s="31"/>
      <c r="H16" s="517"/>
    </row>
    <row r="17" spans="1:6" ht="13.8">
      <c r="A17" s="32" t="s">
        <v>216</v>
      </c>
      <c r="B17" s="33"/>
      <c r="C17" s="33"/>
      <c r="D17" s="33"/>
      <c r="E17" s="33"/>
      <c r="F17" s="33"/>
    </row>
    <row r="18" spans="1:6" ht="13.8">
      <c r="A18" s="33" t="s">
        <v>217</v>
      </c>
      <c r="B18" s="33"/>
      <c r="C18" s="33"/>
      <c r="D18" s="33"/>
      <c r="E18" s="33"/>
      <c r="F18" s="33"/>
    </row>
    <row r="19" spans="1:6" ht="13.8">
      <c r="A19" s="33"/>
      <c r="B19" s="33" t="s">
        <v>213</v>
      </c>
      <c r="C19" s="33"/>
      <c r="D19" s="33"/>
      <c r="E19" s="33"/>
      <c r="F19" s="33"/>
    </row>
    <row r="20" spans="1:6" ht="13.8">
      <c r="A20" s="33" t="s">
        <v>218</v>
      </c>
      <c r="B20" s="33"/>
      <c r="C20" s="33"/>
      <c r="D20" s="33"/>
      <c r="E20" s="33"/>
      <c r="F20" s="33"/>
    </row>
    <row r="21" spans="1:6" ht="13.8">
      <c r="A21" s="33"/>
      <c r="B21" s="33" t="s">
        <v>214</v>
      </c>
      <c r="C21" s="33"/>
      <c r="D21" s="33"/>
      <c r="E21" s="33"/>
      <c r="F21" s="33"/>
    </row>
    <row r="22" spans="1:6" ht="13.8">
      <c r="A22" s="33" t="s">
        <v>221</v>
      </c>
      <c r="B22" s="33"/>
      <c r="C22" s="33"/>
      <c r="D22" s="33"/>
      <c r="E22" s="33"/>
      <c r="F22" s="33"/>
    </row>
    <row r="23" spans="1:6" ht="13.8">
      <c r="A23" s="33"/>
      <c r="B23" s="33" t="s">
        <v>215</v>
      </c>
      <c r="C23" s="33"/>
      <c r="D23" s="33"/>
      <c r="E23" s="33"/>
      <c r="F23" s="33"/>
    </row>
    <row r="24" spans="1:6" ht="13.8">
      <c r="A24" s="33" t="s">
        <v>219</v>
      </c>
      <c r="B24" s="33"/>
      <c r="C24" s="33"/>
      <c r="D24" s="33"/>
      <c r="E24" s="33"/>
      <c r="F24" s="33"/>
    </row>
    <row r="25" spans="1:6" ht="13.8">
      <c r="A25" s="33" t="s">
        <v>220</v>
      </c>
      <c r="B25" s="33"/>
      <c r="C25" s="33"/>
      <c r="D25" s="33"/>
      <c r="E25" s="33"/>
      <c r="F25" s="33"/>
    </row>
  </sheetData>
  <mergeCells count="5">
    <mergeCell ref="D7:D8"/>
    <mergeCell ref="G7:G8"/>
    <mergeCell ref="B3:H3"/>
    <mergeCell ref="B4:H4"/>
    <mergeCell ref="B5:H5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CIBINONG&amp;C021-87906767&amp;RLATIHAN EXCEL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workbookViewId="0">
      <selection activeCell="K21" sqref="K21"/>
    </sheetView>
  </sheetViews>
  <sheetFormatPr defaultRowHeight="13.2"/>
  <cols>
    <col min="1" max="1" width="14.6640625" customWidth="1"/>
    <col min="2" max="2" width="12.21875" bestFit="1" customWidth="1"/>
    <col min="3" max="3" width="12.6640625" bestFit="1" customWidth="1"/>
    <col min="4" max="5" width="11.109375" bestFit="1" customWidth="1"/>
    <col min="6" max="6" width="12.21875" bestFit="1" customWidth="1"/>
    <col min="7" max="7" width="11.109375" bestFit="1" customWidth="1"/>
    <col min="8" max="8" width="16.44140625" customWidth="1"/>
    <col min="9" max="9" width="13.5546875" bestFit="1" customWidth="1"/>
    <col min="10" max="10" width="12.21875" bestFit="1" customWidth="1"/>
    <col min="11" max="11" width="8.77734375" bestFit="1" customWidth="1"/>
    <col min="12" max="12" width="12.6640625" bestFit="1" customWidth="1"/>
  </cols>
  <sheetData>
    <row r="1" spans="1:12" ht="16.2">
      <c r="A1" s="11" t="s">
        <v>64</v>
      </c>
    </row>
    <row r="3" spans="1:12">
      <c r="A3" s="586" t="s">
        <v>65</v>
      </c>
      <c r="B3" s="586"/>
      <c r="C3" s="586"/>
      <c r="D3" s="586"/>
      <c r="E3" s="586"/>
      <c r="F3" s="586"/>
      <c r="G3" s="586"/>
      <c r="H3" s="586"/>
    </row>
    <row r="4" spans="1:12">
      <c r="A4" s="586" t="s">
        <v>66</v>
      </c>
      <c r="B4" s="586"/>
      <c r="C4" s="586"/>
      <c r="D4" s="586"/>
      <c r="E4" s="586"/>
      <c r="F4" s="586"/>
      <c r="G4" s="586"/>
      <c r="H4" s="586"/>
    </row>
    <row r="5" spans="1:12">
      <c r="A5" s="586" t="s">
        <v>67</v>
      </c>
      <c r="B5" s="586"/>
      <c r="C5" s="586"/>
      <c r="D5" s="586"/>
      <c r="E5" s="586"/>
      <c r="F5" s="586"/>
      <c r="G5" s="586"/>
      <c r="H5" s="586"/>
    </row>
    <row r="7" spans="1:12" ht="13.8" thickBot="1">
      <c r="A7" s="110" t="s">
        <v>68</v>
      </c>
      <c r="B7" s="110" t="s">
        <v>69</v>
      </c>
      <c r="C7" s="110" t="s">
        <v>70</v>
      </c>
      <c r="D7" s="110" t="s">
        <v>71</v>
      </c>
      <c r="E7" s="110" t="s">
        <v>72</v>
      </c>
      <c r="F7" s="110" t="s">
        <v>73</v>
      </c>
      <c r="G7" s="110" t="s">
        <v>74</v>
      </c>
      <c r="H7" s="110" t="s">
        <v>75</v>
      </c>
      <c r="K7" s="369"/>
      <c r="L7" s="369"/>
    </row>
    <row r="8" spans="1:12" ht="13.8" thickTop="1">
      <c r="A8" s="111" t="s">
        <v>76</v>
      </c>
      <c r="B8" s="128" t="s">
        <v>88</v>
      </c>
      <c r="C8" s="112">
        <v>3000000</v>
      </c>
      <c r="D8" s="366">
        <f>3%*C8</f>
        <v>90000</v>
      </c>
      <c r="E8" s="366">
        <f t="shared" ref="E8:E15" si="0">2%*C8</f>
        <v>60000</v>
      </c>
      <c r="F8" s="366">
        <f t="shared" ref="F8:F15" si="1">7.5%*C8</f>
        <v>225000</v>
      </c>
      <c r="G8" s="366">
        <f t="shared" ref="G8:G15" si="2">2.5%*C8</f>
        <v>75000</v>
      </c>
      <c r="H8" s="366">
        <f>C8+D8+F8-G8</f>
        <v>3240000</v>
      </c>
      <c r="I8" s="22"/>
      <c r="J8" s="127" t="s">
        <v>921</v>
      </c>
      <c r="K8" s="127" t="s">
        <v>922</v>
      </c>
      <c r="L8" s="127" t="s">
        <v>111</v>
      </c>
    </row>
    <row r="9" spans="1:12">
      <c r="A9" s="113" t="s">
        <v>77</v>
      </c>
      <c r="B9" s="123" t="s">
        <v>89</v>
      </c>
      <c r="C9" s="114">
        <v>5000000</v>
      </c>
      <c r="D9" s="366">
        <f t="shared" ref="D9:D15" si="3">3%*C9</f>
        <v>150000</v>
      </c>
      <c r="E9" s="366">
        <f t="shared" si="0"/>
        <v>100000</v>
      </c>
      <c r="F9" s="366">
        <f t="shared" si="1"/>
        <v>375000</v>
      </c>
      <c r="G9" s="366">
        <f t="shared" si="2"/>
        <v>125000</v>
      </c>
      <c r="H9" s="366">
        <f t="shared" ref="H9:H15" si="4">C9+D9+F9-G9</f>
        <v>5400000</v>
      </c>
      <c r="J9" s="125" t="s">
        <v>88</v>
      </c>
      <c r="K9" s="15">
        <f>COUNTIF($B$8:$B$15,J9)</f>
        <v>2</v>
      </c>
      <c r="L9" s="126">
        <f>SUMIF($B$8:$B$15,J9,$H$8:$H$15)</f>
        <v>6210000</v>
      </c>
    </row>
    <row r="10" spans="1:12">
      <c r="A10" s="113" t="s">
        <v>78</v>
      </c>
      <c r="B10" s="123" t="s">
        <v>91</v>
      </c>
      <c r="C10" s="114">
        <v>1750000</v>
      </c>
      <c r="D10" s="366">
        <f t="shared" si="3"/>
        <v>52500</v>
      </c>
      <c r="E10" s="366">
        <f t="shared" si="0"/>
        <v>35000</v>
      </c>
      <c r="F10" s="366">
        <f t="shared" si="1"/>
        <v>131250</v>
      </c>
      <c r="G10" s="366">
        <f t="shared" si="2"/>
        <v>43750</v>
      </c>
      <c r="H10" s="366">
        <f t="shared" si="4"/>
        <v>1890000</v>
      </c>
      <c r="J10" s="125" t="s">
        <v>89</v>
      </c>
      <c r="K10" s="15">
        <f>COUNTIF($B$8:$B$15,J10)</f>
        <v>1</v>
      </c>
      <c r="L10" s="126">
        <f>SUMIF($B$8:$B$15,J10,$H$8:$H$15)</f>
        <v>5400000</v>
      </c>
    </row>
    <row r="11" spans="1:12">
      <c r="A11" s="113" t="s">
        <v>79</v>
      </c>
      <c r="B11" s="123" t="s">
        <v>88</v>
      </c>
      <c r="C11" s="114">
        <v>2750000</v>
      </c>
      <c r="D11" s="366">
        <f t="shared" si="3"/>
        <v>82500</v>
      </c>
      <c r="E11" s="366">
        <f t="shared" si="0"/>
        <v>55000</v>
      </c>
      <c r="F11" s="366">
        <f t="shared" si="1"/>
        <v>206250</v>
      </c>
      <c r="G11" s="366">
        <f t="shared" si="2"/>
        <v>68750</v>
      </c>
      <c r="H11" s="366">
        <f t="shared" si="4"/>
        <v>2970000</v>
      </c>
      <c r="J11" s="125" t="s">
        <v>91</v>
      </c>
      <c r="K11" s="15">
        <f>COUNTIF($B$8:$B$15,J11)</f>
        <v>2</v>
      </c>
      <c r="L11" s="126">
        <f>SUMIF($B$8:$B$15,J11,$H$8:$H$15)</f>
        <v>3510000</v>
      </c>
    </row>
    <row r="12" spans="1:12">
      <c r="A12" s="113" t="s">
        <v>80</v>
      </c>
      <c r="B12" s="123" t="s">
        <v>90</v>
      </c>
      <c r="C12" s="114">
        <v>2500000</v>
      </c>
      <c r="D12" s="366">
        <f t="shared" si="3"/>
        <v>75000</v>
      </c>
      <c r="E12" s="366">
        <f t="shared" si="0"/>
        <v>50000</v>
      </c>
      <c r="F12" s="366">
        <f t="shared" si="1"/>
        <v>187500</v>
      </c>
      <c r="G12" s="366">
        <f t="shared" si="2"/>
        <v>62500</v>
      </c>
      <c r="H12" s="366">
        <f t="shared" si="4"/>
        <v>2700000</v>
      </c>
      <c r="J12" s="125" t="s">
        <v>90</v>
      </c>
      <c r="K12" s="15">
        <f>COUNTIF($B$8:$B$15,J12)</f>
        <v>2</v>
      </c>
      <c r="L12" s="126">
        <f>SUMIF($B$8:$B$15,J12,$H$8:$H$15)</f>
        <v>5130000</v>
      </c>
    </row>
    <row r="13" spans="1:12">
      <c r="A13" s="113" t="s">
        <v>81</v>
      </c>
      <c r="B13" s="123" t="s">
        <v>91</v>
      </c>
      <c r="C13" s="114">
        <v>1500000</v>
      </c>
      <c r="D13" s="366">
        <f t="shared" si="3"/>
        <v>45000</v>
      </c>
      <c r="E13" s="366">
        <f t="shared" si="0"/>
        <v>30000</v>
      </c>
      <c r="F13" s="366">
        <f t="shared" si="1"/>
        <v>112500</v>
      </c>
      <c r="G13" s="366">
        <f t="shared" si="2"/>
        <v>37500</v>
      </c>
      <c r="H13" s="366">
        <f t="shared" si="4"/>
        <v>1620000</v>
      </c>
      <c r="J13" s="125" t="s">
        <v>92</v>
      </c>
      <c r="K13" s="15">
        <f>COUNTIF($B$8:$B$15,J13)</f>
        <v>1</v>
      </c>
      <c r="L13" s="126">
        <f>SUMIF($B$8:$B$15,J13,$H$8:$H$15)</f>
        <v>2430000</v>
      </c>
    </row>
    <row r="14" spans="1:12">
      <c r="A14" s="113" t="s">
        <v>82</v>
      </c>
      <c r="B14" s="123" t="s">
        <v>92</v>
      </c>
      <c r="C14" s="114">
        <v>2250000</v>
      </c>
      <c r="D14" s="366">
        <f t="shared" si="3"/>
        <v>67500</v>
      </c>
      <c r="E14" s="366">
        <f t="shared" si="0"/>
        <v>45000</v>
      </c>
      <c r="F14" s="366">
        <f t="shared" si="1"/>
        <v>168750</v>
      </c>
      <c r="G14" s="366">
        <f t="shared" si="2"/>
        <v>56250</v>
      </c>
      <c r="H14" s="366">
        <f t="shared" si="4"/>
        <v>2430000</v>
      </c>
    </row>
    <row r="15" spans="1:12" ht="13.8" thickBot="1">
      <c r="A15" s="115" t="s">
        <v>83</v>
      </c>
      <c r="B15" s="124" t="s">
        <v>90</v>
      </c>
      <c r="C15" s="116">
        <v>2250000</v>
      </c>
      <c r="D15" s="366">
        <f t="shared" si="3"/>
        <v>67500</v>
      </c>
      <c r="E15" s="366">
        <f t="shared" si="0"/>
        <v>45000</v>
      </c>
      <c r="F15" s="366">
        <f t="shared" si="1"/>
        <v>168750</v>
      </c>
      <c r="G15" s="366">
        <f t="shared" si="2"/>
        <v>56250</v>
      </c>
      <c r="H15" s="366">
        <f t="shared" si="4"/>
        <v>2430000</v>
      </c>
    </row>
    <row r="16" spans="1:12" ht="14.4" thickTop="1" thickBot="1">
      <c r="A16" s="117" t="s">
        <v>84</v>
      </c>
      <c r="B16" s="118"/>
      <c r="C16" s="118"/>
      <c r="D16" s="118"/>
      <c r="E16" s="118"/>
      <c r="F16" s="118"/>
      <c r="G16" s="119"/>
      <c r="H16" s="367">
        <f>SUM(H8:H15)</f>
        <v>22680000</v>
      </c>
    </row>
    <row r="17" spans="1:8" ht="13.8" thickBot="1">
      <c r="A17" s="120" t="s">
        <v>85</v>
      </c>
      <c r="B17" s="121"/>
      <c r="C17" s="121"/>
      <c r="D17" s="121"/>
      <c r="E17" s="121"/>
      <c r="F17" s="121"/>
      <c r="G17" s="122"/>
      <c r="H17" s="368">
        <f>MAX(H8:H15)</f>
        <v>5400000</v>
      </c>
    </row>
    <row r="18" spans="1:8" ht="13.8" thickBot="1">
      <c r="A18" s="120" t="s">
        <v>86</v>
      </c>
      <c r="B18" s="121"/>
      <c r="C18" s="121"/>
      <c r="D18" s="121"/>
      <c r="E18" s="121"/>
      <c r="F18" s="121"/>
      <c r="G18" s="122"/>
      <c r="H18" s="368">
        <f>MIN(H8:H15)</f>
        <v>1620000</v>
      </c>
    </row>
    <row r="19" spans="1:8" ht="13.8" thickBot="1">
      <c r="A19" s="120" t="s">
        <v>87</v>
      </c>
      <c r="B19" s="121"/>
      <c r="C19" s="121"/>
      <c r="D19" s="121"/>
      <c r="E19" s="121"/>
      <c r="F19" s="121"/>
      <c r="G19" s="122"/>
      <c r="H19" s="368">
        <f>AVERAGE(H8:H15)</f>
        <v>2835000</v>
      </c>
    </row>
    <row r="21" spans="1:8" ht="13.8">
      <c r="A21" s="21" t="s">
        <v>24</v>
      </c>
      <c r="B21" s="20"/>
    </row>
    <row r="22" spans="1:8" ht="13.8">
      <c r="A22" s="20" t="s">
        <v>93</v>
      </c>
      <c r="B22" s="20"/>
    </row>
    <row r="23" spans="1:8" ht="13.8">
      <c r="A23" s="20" t="s">
        <v>94</v>
      </c>
      <c r="B23" s="20"/>
    </row>
    <row r="24" spans="1:8" ht="13.8">
      <c r="A24" s="20" t="s">
        <v>95</v>
      </c>
      <c r="B24" s="20"/>
    </row>
    <row r="25" spans="1:8" ht="13.8">
      <c r="A25" s="20" t="s">
        <v>96</v>
      </c>
      <c r="B25" s="20"/>
    </row>
    <row r="26" spans="1:8" ht="13.8">
      <c r="A26" s="20" t="s">
        <v>97</v>
      </c>
      <c r="B26" s="20"/>
    </row>
    <row r="27" spans="1:8" ht="13.8">
      <c r="A27" s="20" t="s">
        <v>179</v>
      </c>
      <c r="B27" s="20"/>
    </row>
    <row r="28" spans="1:8" ht="13.8">
      <c r="A28" s="20" t="s">
        <v>180</v>
      </c>
      <c r="B28" s="20"/>
      <c r="F28" s="51"/>
    </row>
    <row r="29" spans="1:8" ht="13.8">
      <c r="A29" s="20" t="s">
        <v>181</v>
      </c>
      <c r="B29" s="20"/>
    </row>
    <row r="30" spans="1:8" ht="13.8">
      <c r="A30" s="20" t="s">
        <v>182</v>
      </c>
      <c r="B30" s="20"/>
      <c r="F30" s="51"/>
    </row>
    <row r="31" spans="1:8" ht="13.8">
      <c r="A31" s="20" t="s">
        <v>183</v>
      </c>
      <c r="B31" s="20"/>
    </row>
    <row r="32" spans="1:8" ht="13.8">
      <c r="A32" s="20" t="s">
        <v>924</v>
      </c>
    </row>
    <row r="33" spans="1:1">
      <c r="A33" s="13" t="s">
        <v>923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H3"/>
    <mergeCell ref="A4:H4"/>
    <mergeCell ref="A5:H5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workbookViewId="0">
      <selection activeCell="G10" sqref="G10"/>
    </sheetView>
  </sheetViews>
  <sheetFormatPr defaultRowHeight="13.2"/>
  <cols>
    <col min="2" max="2" width="5.88671875" customWidth="1"/>
    <col min="3" max="3" width="15.44140625" customWidth="1"/>
    <col min="4" max="4" width="10.44140625" customWidth="1"/>
    <col min="5" max="5" width="12" customWidth="1"/>
    <col min="6" max="6" width="11.5546875" customWidth="1"/>
    <col min="7" max="7" width="10.44140625" customWidth="1"/>
    <col min="8" max="8" width="16.33203125" customWidth="1"/>
  </cols>
  <sheetData>
    <row r="1" spans="1:8" ht="16.2">
      <c r="A1" s="11" t="s">
        <v>238</v>
      </c>
    </row>
    <row r="3" spans="1:8" ht="15.6">
      <c r="B3" s="622" t="s">
        <v>222</v>
      </c>
      <c r="C3" s="622"/>
      <c r="D3" s="622"/>
      <c r="E3" s="622"/>
      <c r="F3" s="622"/>
      <c r="G3" s="622"/>
      <c r="H3" s="622"/>
    </row>
    <row r="4" spans="1:8" ht="15.6">
      <c r="B4" s="622" t="s">
        <v>223</v>
      </c>
      <c r="C4" s="622"/>
      <c r="D4" s="622"/>
      <c r="E4" s="622"/>
      <c r="F4" s="622"/>
      <c r="G4" s="622"/>
      <c r="H4" s="622"/>
    </row>
    <row r="5" spans="1:8" ht="15.6">
      <c r="B5" s="622" t="s">
        <v>224</v>
      </c>
      <c r="C5" s="622"/>
      <c r="D5" s="622"/>
      <c r="E5" s="622"/>
      <c r="F5" s="622"/>
      <c r="G5" s="622"/>
      <c r="H5" s="622"/>
    </row>
    <row r="7" spans="1:8" ht="13.8" thickBot="1"/>
    <row r="8" spans="1:8" ht="18.75" customHeight="1" thickBot="1">
      <c r="B8" s="628" t="s">
        <v>2</v>
      </c>
      <c r="C8" s="623" t="s">
        <v>225</v>
      </c>
      <c r="D8" s="625" t="s">
        <v>228</v>
      </c>
      <c r="E8" s="626"/>
      <c r="F8" s="627"/>
      <c r="G8" s="175" t="s">
        <v>211</v>
      </c>
      <c r="H8" s="630" t="s">
        <v>227</v>
      </c>
    </row>
    <row r="9" spans="1:8" ht="21" customHeight="1">
      <c r="B9" s="629"/>
      <c r="C9" s="624"/>
      <c r="D9" s="176" t="s">
        <v>226</v>
      </c>
      <c r="E9" s="177" t="s">
        <v>239</v>
      </c>
      <c r="F9" s="178" t="s">
        <v>240</v>
      </c>
      <c r="G9" s="178" t="s">
        <v>228</v>
      </c>
      <c r="H9" s="631"/>
    </row>
    <row r="10" spans="1:8" ht="17.100000000000001" customHeight="1">
      <c r="B10" s="179">
        <v>1</v>
      </c>
      <c r="C10" s="181" t="s">
        <v>229</v>
      </c>
      <c r="D10" s="182">
        <v>8</v>
      </c>
      <c r="E10" s="182">
        <v>9</v>
      </c>
      <c r="F10" s="182">
        <v>8</v>
      </c>
      <c r="G10" s="182">
        <f>AVERAGE(D10:F10)</f>
        <v>8.3333333333333339</v>
      </c>
      <c r="H10" s="183" t="str">
        <f>IF(G10&gt;=6,"LULUS","TIDAK LULUS")</f>
        <v>LULUS</v>
      </c>
    </row>
    <row r="11" spans="1:8" ht="17.100000000000001" customHeight="1">
      <c r="B11" s="179">
        <v>2</v>
      </c>
      <c r="C11" s="181" t="s">
        <v>241</v>
      </c>
      <c r="D11" s="182">
        <v>7</v>
      </c>
      <c r="E11" s="182">
        <v>8</v>
      </c>
      <c r="F11" s="182">
        <v>9</v>
      </c>
      <c r="G11" s="182">
        <f t="shared" ref="G11:G19" si="0">AVERAGE(D11:F11)</f>
        <v>8</v>
      </c>
      <c r="H11" s="183" t="str">
        <f t="shared" ref="H11:H19" si="1">IF(G11&gt;=6,"LULUS","TIDAK LULUS")</f>
        <v>LULUS</v>
      </c>
    </row>
    <row r="12" spans="1:8" ht="17.100000000000001" customHeight="1">
      <c r="B12" s="179">
        <v>3</v>
      </c>
      <c r="C12" s="181" t="s">
        <v>230</v>
      </c>
      <c r="D12" s="182">
        <v>4</v>
      </c>
      <c r="E12" s="182">
        <v>5</v>
      </c>
      <c r="F12" s="182">
        <v>6</v>
      </c>
      <c r="G12" s="182">
        <f>AVERAGE(D12:F12)</f>
        <v>5</v>
      </c>
      <c r="H12" s="183" t="str">
        <f t="shared" si="1"/>
        <v>TIDAK LULUS</v>
      </c>
    </row>
    <row r="13" spans="1:8" ht="17.100000000000001" customHeight="1">
      <c r="B13" s="179">
        <v>4</v>
      </c>
      <c r="C13" s="181" t="s">
        <v>231</v>
      </c>
      <c r="D13" s="182">
        <v>8</v>
      </c>
      <c r="E13" s="182">
        <v>9</v>
      </c>
      <c r="F13" s="182">
        <v>9</v>
      </c>
      <c r="G13" s="182">
        <f t="shared" si="0"/>
        <v>8.6666666666666661</v>
      </c>
      <c r="H13" s="183" t="str">
        <f t="shared" si="1"/>
        <v>LULUS</v>
      </c>
    </row>
    <row r="14" spans="1:8" ht="17.100000000000001" customHeight="1">
      <c r="B14" s="179">
        <v>5</v>
      </c>
      <c r="C14" s="181" t="s">
        <v>232</v>
      </c>
      <c r="D14" s="182">
        <v>7</v>
      </c>
      <c r="E14" s="182">
        <v>6</v>
      </c>
      <c r="F14" s="182">
        <v>7</v>
      </c>
      <c r="G14" s="182">
        <f t="shared" si="0"/>
        <v>6.666666666666667</v>
      </c>
      <c r="H14" s="183" t="str">
        <f t="shared" si="1"/>
        <v>LULUS</v>
      </c>
    </row>
    <row r="15" spans="1:8" ht="17.100000000000001" customHeight="1">
      <c r="B15" s="179">
        <v>6</v>
      </c>
      <c r="C15" s="181" t="s">
        <v>233</v>
      </c>
      <c r="D15" s="182">
        <v>8</v>
      </c>
      <c r="E15" s="182">
        <v>7</v>
      </c>
      <c r="F15" s="182">
        <v>8</v>
      </c>
      <c r="G15" s="182">
        <f t="shared" si="0"/>
        <v>7.666666666666667</v>
      </c>
      <c r="H15" s="183" t="str">
        <f t="shared" si="1"/>
        <v>LULUS</v>
      </c>
    </row>
    <row r="16" spans="1:8" ht="17.100000000000001" customHeight="1">
      <c r="B16" s="179">
        <v>7</v>
      </c>
      <c r="C16" s="181" t="s">
        <v>234</v>
      </c>
      <c r="D16" s="182">
        <v>7</v>
      </c>
      <c r="E16" s="182">
        <v>8</v>
      </c>
      <c r="F16" s="182">
        <v>7</v>
      </c>
      <c r="G16" s="182">
        <f t="shared" si="0"/>
        <v>7.333333333333333</v>
      </c>
      <c r="H16" s="183" t="str">
        <f t="shared" si="1"/>
        <v>LULUS</v>
      </c>
    </row>
    <row r="17" spans="1:8" ht="17.100000000000001" customHeight="1">
      <c r="B17" s="179">
        <v>8</v>
      </c>
      <c r="C17" s="181" t="s">
        <v>235</v>
      </c>
      <c r="D17" s="182">
        <v>5</v>
      </c>
      <c r="E17" s="182">
        <v>6</v>
      </c>
      <c r="F17" s="182">
        <v>5</v>
      </c>
      <c r="G17" s="182">
        <f t="shared" si="0"/>
        <v>5.333333333333333</v>
      </c>
      <c r="H17" s="183" t="str">
        <f t="shared" si="1"/>
        <v>TIDAK LULUS</v>
      </c>
    </row>
    <row r="18" spans="1:8" ht="17.100000000000001" customHeight="1">
      <c r="B18" s="179">
        <v>9</v>
      </c>
      <c r="C18" s="181" t="s">
        <v>236</v>
      </c>
      <c r="D18" s="182">
        <v>6</v>
      </c>
      <c r="E18" s="182">
        <v>6</v>
      </c>
      <c r="F18" s="182">
        <v>6</v>
      </c>
      <c r="G18" s="182">
        <f t="shared" si="0"/>
        <v>6</v>
      </c>
      <c r="H18" s="183" t="str">
        <f t="shared" si="1"/>
        <v>LULUS</v>
      </c>
    </row>
    <row r="19" spans="1:8" ht="17.100000000000001" customHeight="1" thickBot="1">
      <c r="B19" s="180">
        <v>10</v>
      </c>
      <c r="C19" s="184" t="s">
        <v>237</v>
      </c>
      <c r="D19" s="185">
        <v>5</v>
      </c>
      <c r="E19" s="185">
        <v>5</v>
      </c>
      <c r="F19" s="185">
        <v>5</v>
      </c>
      <c r="G19" s="182">
        <f t="shared" si="0"/>
        <v>5</v>
      </c>
      <c r="H19" s="183" t="str">
        <f t="shared" si="1"/>
        <v>TIDAK LULUS</v>
      </c>
    </row>
    <row r="21" spans="1:8" ht="15">
      <c r="A21" s="23" t="s">
        <v>24</v>
      </c>
      <c r="B21" s="23"/>
      <c r="C21" s="23"/>
      <c r="D21" s="23"/>
      <c r="E21" s="23"/>
      <c r="F21" s="23"/>
    </row>
    <row r="22" spans="1:8" ht="15.6">
      <c r="A22" s="23" t="s">
        <v>243</v>
      </c>
      <c r="B22" s="23"/>
      <c r="C22" s="23"/>
      <c r="D22" s="23"/>
      <c r="E22" s="23"/>
      <c r="F22" s="23"/>
    </row>
    <row r="23" spans="1:8" ht="15.6">
      <c r="A23" s="23" t="s">
        <v>244</v>
      </c>
      <c r="B23" s="23"/>
      <c r="C23" s="23"/>
      <c r="D23" s="23"/>
      <c r="E23" s="23"/>
      <c r="F23" s="23"/>
    </row>
    <row r="24" spans="1:8" ht="15">
      <c r="A24" s="23"/>
      <c r="B24" s="23"/>
      <c r="C24" s="23" t="s">
        <v>242</v>
      </c>
      <c r="D24" s="23"/>
      <c r="E24" s="23"/>
      <c r="F24" s="23"/>
    </row>
  </sheetData>
  <mergeCells count="7">
    <mergeCell ref="C8:C9"/>
    <mergeCell ref="D8:F8"/>
    <mergeCell ref="B8:B9"/>
    <mergeCell ref="B3:H3"/>
    <mergeCell ref="B4:H4"/>
    <mergeCell ref="B5:H5"/>
    <mergeCell ref="H8:H9"/>
  </mergeCells>
  <phoneticPr fontId="5" type="noConversion"/>
  <pageMargins left="0.75" right="0.41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4"/>
  <sheetViews>
    <sheetView workbookViewId="0">
      <selection activeCell="M21" sqref="M21"/>
    </sheetView>
  </sheetViews>
  <sheetFormatPr defaultRowHeight="13.2"/>
  <cols>
    <col min="2" max="2" width="6.5546875" customWidth="1"/>
    <col min="3" max="3" width="11.5546875" customWidth="1"/>
    <col min="4" max="4" width="12.33203125" customWidth="1"/>
    <col min="5" max="5" width="11.44140625" customWidth="1"/>
    <col min="6" max="6" width="13.6640625" customWidth="1"/>
  </cols>
  <sheetData>
    <row r="1" spans="1:6" ht="16.2">
      <c r="A1" s="11" t="s">
        <v>245</v>
      </c>
    </row>
    <row r="3" spans="1:6" ht="15.6">
      <c r="B3" s="632" t="s">
        <v>246</v>
      </c>
      <c r="C3" s="632"/>
      <c r="D3" s="632"/>
      <c r="E3" s="632"/>
      <c r="F3" s="632"/>
    </row>
    <row r="4" spans="1:6" ht="17.399999999999999">
      <c r="B4" s="633" t="s">
        <v>247</v>
      </c>
      <c r="C4" s="633"/>
      <c r="D4" s="633"/>
      <c r="E4" s="633"/>
      <c r="F4" s="633"/>
    </row>
    <row r="5" spans="1:6" ht="15">
      <c r="B5" s="604" t="s">
        <v>248</v>
      </c>
      <c r="C5" s="604"/>
      <c r="D5" s="604"/>
      <c r="E5" s="604"/>
      <c r="F5" s="604"/>
    </row>
    <row r="7" spans="1:6" ht="15.6" thickBot="1">
      <c r="B7" s="23" t="s">
        <v>249</v>
      </c>
      <c r="C7" s="186">
        <v>1000</v>
      </c>
      <c r="D7" s="23"/>
      <c r="E7" s="34" t="s">
        <v>250</v>
      </c>
      <c r="F7" s="187">
        <v>500</v>
      </c>
    </row>
    <row r="8" spans="1:6" ht="30.6" thickBot="1">
      <c r="B8" s="188" t="s">
        <v>2</v>
      </c>
      <c r="C8" s="189" t="s">
        <v>251</v>
      </c>
      <c r="D8" s="189" t="s">
        <v>252</v>
      </c>
      <c r="E8" s="189" t="s">
        <v>253</v>
      </c>
      <c r="F8" s="190" t="s">
        <v>254</v>
      </c>
    </row>
    <row r="9" spans="1:6" ht="15.6" thickTop="1">
      <c r="B9" s="196">
        <v>1</v>
      </c>
      <c r="C9" s="191" t="s">
        <v>255</v>
      </c>
      <c r="D9" s="194" t="str">
        <f t="shared" ref="D9:D18" si="0">IF(C9="K","Kalkir","HVS")</f>
        <v>Kalkir</v>
      </c>
      <c r="E9" s="191">
        <v>15</v>
      </c>
      <c r="F9" s="518">
        <f>IF(C9="K",E9*$C$7,E9*$F$7)</f>
        <v>15000</v>
      </c>
    </row>
    <row r="10" spans="1:6" ht="15">
      <c r="B10" s="197">
        <v>2</v>
      </c>
      <c r="C10" s="192" t="s">
        <v>256</v>
      </c>
      <c r="D10" s="195" t="str">
        <f t="shared" si="0"/>
        <v>HVS</v>
      </c>
      <c r="E10" s="192">
        <v>20</v>
      </c>
      <c r="F10" s="518">
        <f t="shared" ref="F10:F18" si="1">IF(C10="K",E10*$C$7,E10*$F$7)</f>
        <v>10000</v>
      </c>
    </row>
    <row r="11" spans="1:6" ht="15">
      <c r="B11" s="197">
        <v>3</v>
      </c>
      <c r="C11" s="192" t="s">
        <v>256</v>
      </c>
      <c r="D11" s="195" t="str">
        <f t="shared" si="0"/>
        <v>HVS</v>
      </c>
      <c r="E11" s="192">
        <v>5</v>
      </c>
      <c r="F11" s="518">
        <f t="shared" si="1"/>
        <v>2500</v>
      </c>
    </row>
    <row r="12" spans="1:6" ht="15">
      <c r="B12" s="197">
        <v>4</v>
      </c>
      <c r="C12" s="192" t="s">
        <v>255</v>
      </c>
      <c r="D12" s="195" t="str">
        <f t="shared" si="0"/>
        <v>Kalkir</v>
      </c>
      <c r="E12" s="192">
        <v>10</v>
      </c>
      <c r="F12" s="518">
        <f t="shared" si="1"/>
        <v>10000</v>
      </c>
    </row>
    <row r="13" spans="1:6" ht="15">
      <c r="B13" s="197">
        <v>5</v>
      </c>
      <c r="C13" s="192" t="s">
        <v>255</v>
      </c>
      <c r="D13" s="195" t="str">
        <f t="shared" si="0"/>
        <v>Kalkir</v>
      </c>
      <c r="E13" s="192">
        <v>20</v>
      </c>
      <c r="F13" s="518">
        <f t="shared" si="1"/>
        <v>20000</v>
      </c>
    </row>
    <row r="14" spans="1:6" ht="15">
      <c r="B14" s="197">
        <v>6</v>
      </c>
      <c r="C14" s="192" t="s">
        <v>256</v>
      </c>
      <c r="D14" s="195" t="str">
        <f t="shared" si="0"/>
        <v>HVS</v>
      </c>
      <c r="E14" s="192">
        <v>30</v>
      </c>
      <c r="F14" s="518">
        <f t="shared" si="1"/>
        <v>15000</v>
      </c>
    </row>
    <row r="15" spans="1:6" ht="15">
      <c r="B15" s="197">
        <v>7</v>
      </c>
      <c r="C15" s="192" t="s">
        <v>255</v>
      </c>
      <c r="D15" s="195" t="str">
        <f t="shared" si="0"/>
        <v>Kalkir</v>
      </c>
      <c r="E15" s="192">
        <v>18</v>
      </c>
      <c r="F15" s="518">
        <f t="shared" si="1"/>
        <v>18000</v>
      </c>
    </row>
    <row r="16" spans="1:6" ht="15">
      <c r="B16" s="197">
        <v>8</v>
      </c>
      <c r="C16" s="192" t="s">
        <v>255</v>
      </c>
      <c r="D16" s="195" t="str">
        <f t="shared" si="0"/>
        <v>Kalkir</v>
      </c>
      <c r="E16" s="192">
        <v>10</v>
      </c>
      <c r="F16" s="518">
        <f t="shared" si="1"/>
        <v>10000</v>
      </c>
    </row>
    <row r="17" spans="1:6" ht="15">
      <c r="B17" s="197">
        <v>9</v>
      </c>
      <c r="C17" s="192" t="s">
        <v>255</v>
      </c>
      <c r="D17" s="195" t="str">
        <f t="shared" si="0"/>
        <v>Kalkir</v>
      </c>
      <c r="E17" s="192">
        <v>25</v>
      </c>
      <c r="F17" s="518">
        <f t="shared" si="1"/>
        <v>25000</v>
      </c>
    </row>
    <row r="18" spans="1:6" ht="15.6" thickBot="1">
      <c r="B18" s="198">
        <v>10</v>
      </c>
      <c r="C18" s="193" t="s">
        <v>256</v>
      </c>
      <c r="D18" s="195" t="str">
        <f t="shared" si="0"/>
        <v>HVS</v>
      </c>
      <c r="E18" s="193">
        <v>21</v>
      </c>
      <c r="F18" s="518">
        <f t="shared" si="1"/>
        <v>10500</v>
      </c>
    </row>
    <row r="20" spans="1:6" ht="15">
      <c r="A20" s="35" t="s">
        <v>24</v>
      </c>
      <c r="B20" s="36"/>
    </row>
    <row r="21" spans="1:6" ht="15.6">
      <c r="A21" s="23" t="s">
        <v>257</v>
      </c>
    </row>
    <row r="22" spans="1:6" ht="15">
      <c r="A22" s="23"/>
      <c r="C22" s="23" t="s">
        <v>259</v>
      </c>
      <c r="D22" s="23"/>
    </row>
    <row r="23" spans="1:6" ht="15.6">
      <c r="A23" s="23" t="s">
        <v>258</v>
      </c>
    </row>
    <row r="24" spans="1:6" ht="15">
      <c r="A24" s="23" t="s">
        <v>260</v>
      </c>
    </row>
  </sheetData>
  <mergeCells count="3">
    <mergeCell ref="B3:F3"/>
    <mergeCell ref="B4:F4"/>
    <mergeCell ref="B5:F5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I26" sqref="I26"/>
    </sheetView>
  </sheetViews>
  <sheetFormatPr defaultRowHeight="13.2"/>
  <cols>
    <col min="1" max="1" width="8.44140625" customWidth="1"/>
    <col min="2" max="2" width="14.33203125" customWidth="1"/>
    <col min="3" max="3" width="14" customWidth="1"/>
    <col min="6" max="6" width="11.5546875" customWidth="1"/>
    <col min="7" max="7" width="12.88671875" customWidth="1"/>
    <col min="9" max="9" width="11" customWidth="1"/>
    <col min="10" max="10" width="10.33203125" customWidth="1"/>
    <col min="11" max="11" width="17.109375" customWidth="1"/>
  </cols>
  <sheetData>
    <row r="1" spans="1:13" ht="16.2">
      <c r="A1" s="11" t="s">
        <v>261</v>
      </c>
    </row>
    <row r="3" spans="1:13" ht="15">
      <c r="A3" s="634" t="s">
        <v>262</v>
      </c>
      <c r="B3" s="634"/>
      <c r="C3" s="634"/>
      <c r="D3" s="634"/>
      <c r="E3" s="634"/>
      <c r="F3" s="634"/>
      <c r="G3" s="634"/>
    </row>
    <row r="4" spans="1:13" ht="13.8" thickBot="1"/>
    <row r="5" spans="1:13" ht="39.75" customHeight="1" thickTop="1" thickBot="1">
      <c r="A5" s="203" t="s">
        <v>263</v>
      </c>
      <c r="B5" s="201" t="s">
        <v>102</v>
      </c>
      <c r="C5" s="201" t="s">
        <v>264</v>
      </c>
      <c r="D5" s="201" t="s">
        <v>265</v>
      </c>
      <c r="E5" s="201" t="s">
        <v>266</v>
      </c>
      <c r="F5" s="201" t="s">
        <v>267</v>
      </c>
      <c r="G5" s="202" t="s">
        <v>268</v>
      </c>
      <c r="I5" s="200" t="s">
        <v>921</v>
      </c>
      <c r="J5" s="200" t="s">
        <v>925</v>
      </c>
      <c r="K5" s="200" t="s">
        <v>926</v>
      </c>
    </row>
    <row r="6" spans="1:13" ht="15" customHeight="1" thickTop="1" thickBot="1">
      <c r="A6" s="40">
        <v>2943</v>
      </c>
      <c r="B6" s="45" t="s">
        <v>269</v>
      </c>
      <c r="C6" s="41" t="s">
        <v>270</v>
      </c>
      <c r="D6" s="42">
        <v>37446</v>
      </c>
      <c r="E6" s="41">
        <v>3</v>
      </c>
      <c r="F6" s="43">
        <f>IF(C6="Kamus",1750,IF(C6="Teknik",2250,IF(C6="Analisis",3250,1500)))</f>
        <v>1500</v>
      </c>
      <c r="G6" s="44">
        <f>F6*E6</f>
        <v>4500</v>
      </c>
      <c r="I6" s="15" t="str">
        <f t="shared" ref="I6:I12" si="0">C6</f>
        <v>Fiksi Ilmiah</v>
      </c>
      <c r="J6" s="15">
        <f t="shared" ref="J6:J12" si="1">COUNTIF($C$6:$C$19,I6)</f>
        <v>1</v>
      </c>
      <c r="K6" s="126">
        <f t="shared" ref="K6:K12" si="2">SUMIF($C$6:$C$19,I6,$G$6:$G$19)</f>
        <v>4500</v>
      </c>
    </row>
    <row r="7" spans="1:13" ht="15" customHeight="1" thickBot="1">
      <c r="A7" s="37">
        <v>1020</v>
      </c>
      <c r="B7" s="46" t="s">
        <v>271</v>
      </c>
      <c r="C7" s="38" t="s">
        <v>272</v>
      </c>
      <c r="D7" s="39">
        <v>37448</v>
      </c>
      <c r="E7" s="38">
        <v>2</v>
      </c>
      <c r="F7" s="43">
        <f>IF(C7="Kamus",1750,IF(C7="Teknik",2250,IF(C7="Analisis",3250,1500)))</f>
        <v>3250</v>
      </c>
      <c r="G7" s="44">
        <f>F7*E7</f>
        <v>6500</v>
      </c>
      <c r="I7" s="15" t="str">
        <f t="shared" si="0"/>
        <v>Analisis</v>
      </c>
      <c r="J7" s="15">
        <f t="shared" si="1"/>
        <v>2</v>
      </c>
      <c r="K7" s="126">
        <f t="shared" si="2"/>
        <v>22750</v>
      </c>
      <c r="M7" t="s">
        <v>1155</v>
      </c>
    </row>
    <row r="8" spans="1:13" ht="15" customHeight="1" thickBot="1">
      <c r="A8" s="37">
        <v>1021</v>
      </c>
      <c r="B8" s="46" t="s">
        <v>273</v>
      </c>
      <c r="C8" s="38" t="s">
        <v>274</v>
      </c>
      <c r="D8" s="39">
        <v>37450</v>
      </c>
      <c r="E8" s="38">
        <v>1</v>
      </c>
      <c r="F8" s="43">
        <f>IF(C8="Kamus",1750,IF(C8="Teknik",2250,IF(C8="Analisis",3250,1500)))</f>
        <v>1750</v>
      </c>
      <c r="G8" s="44">
        <f t="shared" ref="G8:G19" si="3">F8*E8</f>
        <v>1750</v>
      </c>
      <c r="I8" s="15" t="str">
        <f t="shared" si="0"/>
        <v>Kamus</v>
      </c>
      <c r="J8" s="15">
        <f t="shared" si="1"/>
        <v>2</v>
      </c>
      <c r="K8" s="126">
        <f t="shared" si="2"/>
        <v>8750</v>
      </c>
    </row>
    <row r="9" spans="1:13" ht="15" customHeight="1" thickBot="1">
      <c r="A9" s="37">
        <v>1023</v>
      </c>
      <c r="B9" s="46" t="s">
        <v>275</v>
      </c>
      <c r="C9" s="38" t="s">
        <v>293</v>
      </c>
      <c r="D9" s="39">
        <v>37452</v>
      </c>
      <c r="E9" s="38">
        <v>4</v>
      </c>
      <c r="F9" s="43">
        <f>IF(C9="Kamus",1750,IF(C9="Teknik",2250,IF(C9="Analisis",3250,1500)))</f>
        <v>1500</v>
      </c>
      <c r="G9" s="44">
        <f t="shared" si="3"/>
        <v>6000</v>
      </c>
      <c r="I9" s="15" t="str">
        <f t="shared" si="0"/>
        <v>Ensiklopedi</v>
      </c>
      <c r="J9" s="15">
        <f t="shared" si="1"/>
        <v>3</v>
      </c>
      <c r="K9" s="126">
        <f t="shared" si="2"/>
        <v>12000</v>
      </c>
    </row>
    <row r="10" spans="1:13" ht="15" customHeight="1" thickBot="1">
      <c r="A10" s="37">
        <v>1024</v>
      </c>
      <c r="B10" s="46" t="s">
        <v>276</v>
      </c>
      <c r="C10" s="38" t="s">
        <v>277</v>
      </c>
      <c r="D10" s="39">
        <v>37454</v>
      </c>
      <c r="E10" s="38">
        <v>5</v>
      </c>
      <c r="F10" s="43">
        <f t="shared" ref="F10:F19" si="4">IF(C10="Kamus",1750,IF(C10="Teknik",2250,IF(C10="Analisis",3250,1500)))</f>
        <v>1500</v>
      </c>
      <c r="G10" s="44">
        <f t="shared" si="3"/>
        <v>7500</v>
      </c>
      <c r="I10" s="15" t="str">
        <f t="shared" si="0"/>
        <v>Cerita</v>
      </c>
      <c r="J10" s="15">
        <f t="shared" si="1"/>
        <v>2</v>
      </c>
      <c r="K10" s="126">
        <f t="shared" si="2"/>
        <v>13500</v>
      </c>
    </row>
    <row r="11" spans="1:13" ht="15" customHeight="1" thickBot="1">
      <c r="A11" s="37">
        <v>1025</v>
      </c>
      <c r="B11" s="46" t="s">
        <v>278</v>
      </c>
      <c r="C11" s="38" t="s">
        <v>279</v>
      </c>
      <c r="D11" s="39">
        <v>37456</v>
      </c>
      <c r="E11" s="38">
        <v>3</v>
      </c>
      <c r="F11" s="43">
        <f t="shared" si="4"/>
        <v>1500</v>
      </c>
      <c r="G11" s="44">
        <f t="shared" si="3"/>
        <v>4500</v>
      </c>
      <c r="I11" s="15" t="str">
        <f t="shared" si="0"/>
        <v>Religi</v>
      </c>
      <c r="J11" s="15">
        <f t="shared" si="1"/>
        <v>2</v>
      </c>
      <c r="K11" s="126">
        <f t="shared" si="2"/>
        <v>13500</v>
      </c>
    </row>
    <row r="12" spans="1:13" ht="15" customHeight="1" thickBot="1">
      <c r="A12" s="37">
        <v>1026</v>
      </c>
      <c r="B12" s="46" t="s">
        <v>280</v>
      </c>
      <c r="C12" s="38" t="s">
        <v>281</v>
      </c>
      <c r="D12" s="39">
        <v>37458</v>
      </c>
      <c r="E12" s="38">
        <v>2</v>
      </c>
      <c r="F12" s="43">
        <f t="shared" si="4"/>
        <v>2250</v>
      </c>
      <c r="G12" s="44">
        <f t="shared" si="3"/>
        <v>4500</v>
      </c>
      <c r="I12" s="15" t="str">
        <f t="shared" si="0"/>
        <v>Teknik</v>
      </c>
      <c r="J12" s="15">
        <f t="shared" si="1"/>
        <v>2</v>
      </c>
      <c r="K12" s="126">
        <f t="shared" si="2"/>
        <v>9000</v>
      </c>
    </row>
    <row r="13" spans="1:13" ht="15" customHeight="1" thickBot="1">
      <c r="A13" s="37">
        <v>1027</v>
      </c>
      <c r="B13" s="46" t="s">
        <v>282</v>
      </c>
      <c r="C13" s="38" t="s">
        <v>293</v>
      </c>
      <c r="D13" s="39">
        <v>37460</v>
      </c>
      <c r="E13" s="38">
        <v>1</v>
      </c>
      <c r="F13" s="43">
        <f t="shared" si="4"/>
        <v>1500</v>
      </c>
      <c r="G13" s="44">
        <f t="shared" si="3"/>
        <v>1500</v>
      </c>
    </row>
    <row r="14" spans="1:13" ht="15" customHeight="1" thickBot="1">
      <c r="A14" s="37">
        <v>1358</v>
      </c>
      <c r="B14" s="46" t="s">
        <v>283</v>
      </c>
      <c r="C14" s="38" t="s">
        <v>277</v>
      </c>
      <c r="D14" s="39">
        <v>37462</v>
      </c>
      <c r="E14" s="38">
        <v>4</v>
      </c>
      <c r="F14" s="43">
        <f t="shared" si="4"/>
        <v>1500</v>
      </c>
      <c r="G14" s="44">
        <f t="shared" si="3"/>
        <v>6000</v>
      </c>
    </row>
    <row r="15" spans="1:13" ht="15" customHeight="1" thickBot="1">
      <c r="A15" s="37">
        <v>1359</v>
      </c>
      <c r="B15" s="46" t="s">
        <v>284</v>
      </c>
      <c r="C15" s="38" t="s">
        <v>279</v>
      </c>
      <c r="D15" s="39">
        <v>37464</v>
      </c>
      <c r="E15" s="38">
        <v>6</v>
      </c>
      <c r="F15" s="43">
        <f t="shared" si="4"/>
        <v>1500</v>
      </c>
      <c r="G15" s="44">
        <f t="shared" si="3"/>
        <v>9000</v>
      </c>
      <c r="I15" s="199"/>
    </row>
    <row r="16" spans="1:13" ht="15" customHeight="1" thickBot="1">
      <c r="A16" s="37">
        <v>1360</v>
      </c>
      <c r="B16" s="46" t="s">
        <v>285</v>
      </c>
      <c r="C16" s="38" t="s">
        <v>281</v>
      </c>
      <c r="D16" s="39">
        <v>37466</v>
      </c>
      <c r="E16" s="38">
        <v>2</v>
      </c>
      <c r="F16" s="43">
        <f t="shared" si="4"/>
        <v>2250</v>
      </c>
      <c r="G16" s="44">
        <f t="shared" si="3"/>
        <v>4500</v>
      </c>
      <c r="I16" s="199"/>
    </row>
    <row r="17" spans="1:7" ht="15" customHeight="1" thickBot="1">
      <c r="A17" s="37">
        <v>1361</v>
      </c>
      <c r="B17" s="46" t="s">
        <v>286</v>
      </c>
      <c r="C17" s="38" t="s">
        <v>272</v>
      </c>
      <c r="D17" s="39">
        <v>37468</v>
      </c>
      <c r="E17" s="38">
        <v>5</v>
      </c>
      <c r="F17" s="43">
        <f t="shared" si="4"/>
        <v>3250</v>
      </c>
      <c r="G17" s="44">
        <f t="shared" si="3"/>
        <v>16250</v>
      </c>
    </row>
    <row r="18" spans="1:7" ht="15" customHeight="1" thickBot="1">
      <c r="A18" s="37">
        <v>1363</v>
      </c>
      <c r="B18" s="46" t="s">
        <v>287</v>
      </c>
      <c r="C18" s="38" t="s">
        <v>274</v>
      </c>
      <c r="D18" s="38" t="s">
        <v>288</v>
      </c>
      <c r="E18" s="38">
        <v>4</v>
      </c>
      <c r="F18" s="43">
        <f t="shared" si="4"/>
        <v>1750</v>
      </c>
      <c r="G18" s="44">
        <f t="shared" si="3"/>
        <v>7000</v>
      </c>
    </row>
    <row r="19" spans="1:7" ht="15" customHeight="1" thickBot="1">
      <c r="A19" s="37">
        <v>1364</v>
      </c>
      <c r="B19" s="46" t="s">
        <v>289</v>
      </c>
      <c r="C19" s="38" t="s">
        <v>293</v>
      </c>
      <c r="D19" s="38" t="s">
        <v>290</v>
      </c>
      <c r="E19" s="38">
        <v>3</v>
      </c>
      <c r="F19" s="43">
        <f t="shared" si="4"/>
        <v>1500</v>
      </c>
      <c r="G19" s="44">
        <f t="shared" si="3"/>
        <v>4500</v>
      </c>
    </row>
    <row r="20" spans="1:7" ht="15" customHeight="1" thickBot="1">
      <c r="A20" s="635" t="s">
        <v>291</v>
      </c>
      <c r="B20" s="636"/>
      <c r="C20" s="636"/>
      <c r="D20" s="636"/>
      <c r="E20" s="637"/>
      <c r="F20" s="43"/>
      <c r="G20" s="44">
        <f>SUM(G6:G19)</f>
        <v>84000</v>
      </c>
    </row>
    <row r="21" spans="1:7" ht="15" customHeight="1" thickBot="1">
      <c r="A21" s="638" t="s">
        <v>211</v>
      </c>
      <c r="B21" s="639"/>
      <c r="C21" s="639"/>
      <c r="D21" s="639"/>
      <c r="E21" s="640"/>
      <c r="F21" s="204"/>
      <c r="G21" s="205">
        <f>AVERAGE(G6:G19)</f>
        <v>6000</v>
      </c>
    </row>
    <row r="22" spans="1:7" ht="15" customHeight="1">
      <c r="A22" s="641" t="s">
        <v>292</v>
      </c>
      <c r="B22" s="642"/>
      <c r="C22" s="642"/>
      <c r="D22" s="642"/>
      <c r="E22" s="642"/>
      <c r="F22" s="206"/>
      <c r="G22" s="207">
        <f>MAX(G6:G19)</f>
        <v>16250</v>
      </c>
    </row>
    <row r="23" spans="1:7" ht="15">
      <c r="A23" s="35" t="s">
        <v>24</v>
      </c>
      <c r="B23" s="23"/>
      <c r="C23" s="23"/>
      <c r="D23" s="23"/>
      <c r="E23" s="23"/>
      <c r="F23" s="23"/>
      <c r="G23" s="23"/>
    </row>
    <row r="24" spans="1:7" ht="15">
      <c r="A24" s="23" t="s">
        <v>294</v>
      </c>
      <c r="B24" s="23"/>
      <c r="C24" s="23"/>
      <c r="D24" s="23"/>
      <c r="E24" s="23"/>
      <c r="F24" s="23"/>
      <c r="G24" s="23"/>
    </row>
    <row r="25" spans="1:7" ht="15">
      <c r="A25" s="23"/>
      <c r="B25" s="23" t="s">
        <v>295</v>
      </c>
      <c r="C25" s="23"/>
      <c r="D25" s="23"/>
      <c r="E25" s="23"/>
      <c r="F25" s="23"/>
      <c r="G25" s="23"/>
    </row>
    <row r="26" spans="1:7" ht="15">
      <c r="A26" s="23"/>
      <c r="B26" s="23" t="s">
        <v>296</v>
      </c>
      <c r="C26" s="23"/>
      <c r="D26" s="23"/>
      <c r="E26" s="23"/>
      <c r="F26" s="23"/>
      <c r="G26" s="23"/>
    </row>
    <row r="27" spans="1:7" ht="15">
      <c r="A27" s="23"/>
      <c r="B27" s="23" t="s">
        <v>297</v>
      </c>
      <c r="C27" s="23"/>
      <c r="D27" s="23"/>
      <c r="E27" s="23"/>
      <c r="F27" s="23"/>
      <c r="G27" s="23"/>
    </row>
    <row r="28" spans="1:7" ht="15">
      <c r="A28" s="23"/>
      <c r="B28" s="23" t="s">
        <v>298</v>
      </c>
      <c r="C28" s="23"/>
      <c r="D28" s="23"/>
      <c r="E28" s="23"/>
      <c r="F28" s="23"/>
      <c r="G28" s="23"/>
    </row>
    <row r="29" spans="1:7" ht="15">
      <c r="A29" s="23" t="s">
        <v>299</v>
      </c>
      <c r="B29" s="23"/>
      <c r="C29" s="23"/>
      <c r="D29" s="23"/>
      <c r="E29" s="23"/>
      <c r="F29" s="23"/>
      <c r="G29" s="23"/>
    </row>
    <row r="30" spans="1:7">
      <c r="A30" s="52" t="s">
        <v>927</v>
      </c>
    </row>
  </sheetData>
  <mergeCells count="4">
    <mergeCell ref="A3:G3"/>
    <mergeCell ref="A20:E20"/>
    <mergeCell ref="A21:E21"/>
    <mergeCell ref="A22:E22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>
      <selection activeCell="F19" sqref="F19"/>
    </sheetView>
  </sheetViews>
  <sheetFormatPr defaultRowHeight="13.2"/>
  <cols>
    <col min="1" max="1" width="6.5546875" customWidth="1"/>
    <col min="2" max="2" width="15.109375" customWidth="1"/>
    <col min="3" max="3" width="9.33203125" customWidth="1"/>
    <col min="4" max="4" width="10.109375" customWidth="1"/>
    <col min="5" max="5" width="10.33203125" customWidth="1"/>
    <col min="7" max="7" width="10.5546875" customWidth="1"/>
    <col min="8" max="8" width="10.88671875" customWidth="1"/>
  </cols>
  <sheetData>
    <row r="1" spans="1:8" ht="16.2">
      <c r="A1" s="11" t="s">
        <v>300</v>
      </c>
    </row>
    <row r="3" spans="1:8" ht="15.6">
      <c r="A3" s="622" t="s">
        <v>317</v>
      </c>
      <c r="B3" s="622"/>
      <c r="C3" s="622"/>
      <c r="D3" s="622"/>
      <c r="E3" s="622"/>
      <c r="F3" s="622"/>
      <c r="G3" s="622"/>
      <c r="H3" s="622"/>
    </row>
    <row r="4" spans="1:8" ht="15.6">
      <c r="A4" s="622" t="s">
        <v>315</v>
      </c>
      <c r="B4" s="622"/>
      <c r="C4" s="622"/>
      <c r="D4" s="622"/>
      <c r="E4" s="622"/>
      <c r="F4" s="622"/>
      <c r="G4" s="622"/>
      <c r="H4" s="622"/>
    </row>
    <row r="5" spans="1:8" ht="13.8" thickBot="1"/>
    <row r="6" spans="1:8" ht="14.4" thickTop="1" thickBot="1">
      <c r="A6" s="214" t="s">
        <v>301</v>
      </c>
      <c r="B6" s="215" t="s">
        <v>225</v>
      </c>
      <c r="C6" s="215" t="s">
        <v>302</v>
      </c>
      <c r="D6" s="215" t="s">
        <v>239</v>
      </c>
      <c r="E6" s="215" t="s">
        <v>240</v>
      </c>
      <c r="F6" s="215" t="s">
        <v>211</v>
      </c>
      <c r="G6" s="215" t="s">
        <v>303</v>
      </c>
      <c r="H6" s="216" t="s">
        <v>227</v>
      </c>
    </row>
    <row r="7" spans="1:8" ht="13.8" thickBot="1">
      <c r="A7" s="229">
        <v>101</v>
      </c>
      <c r="B7" s="47" t="s">
        <v>307</v>
      </c>
      <c r="C7" s="232">
        <v>80</v>
      </c>
      <c r="D7" s="48">
        <v>90</v>
      </c>
      <c r="E7" s="232">
        <v>80</v>
      </c>
      <c r="F7" s="48">
        <f t="shared" ref="F7:F14" si="0">AVERAGE(C7:E7)</f>
        <v>83.333333333333329</v>
      </c>
      <c r="G7" s="232" t="str" cm="1">
        <f t="array" ref="G7">_xlfn.IFS(F7&lt;=60,"E",F7&lt;=74,"D",F7&lt;=85,"C",F7&lt;=89,"B",F7&gt;=90,"A")</f>
        <v>C</v>
      </c>
      <c r="H7" s="50" t="str">
        <f>IF(G7="A","ISTIMEWA",IF(G7="B","BAIK",IF(G7="C","CUKUP",IF(G7="D","BURUK","GAGAL"))))</f>
        <v>CUKUP</v>
      </c>
    </row>
    <row r="8" spans="1:8" ht="13.8" thickBot="1">
      <c r="A8" s="230">
        <v>102</v>
      </c>
      <c r="B8" s="28" t="s">
        <v>308</v>
      </c>
      <c r="C8" s="155">
        <v>85</v>
      </c>
      <c r="D8" s="26">
        <v>90</v>
      </c>
      <c r="E8" s="155">
        <v>88</v>
      </c>
      <c r="F8" s="48">
        <f t="shared" si="0"/>
        <v>87.666666666666671</v>
      </c>
      <c r="G8" s="232" t="str" cm="1">
        <f t="array" ref="G8">_xlfn.IFS(F8&lt;=60,"E",F8&lt;=74,"D",F8&lt;=85,"C",F8&lt;=89,"B",F8&gt;=90,"A")</f>
        <v>B</v>
      </c>
      <c r="H8" s="50" t="str">
        <f t="shared" ref="H8:H14" si="1">IF(G8="A","ISTIMEWA",IF(G8="B","BAIK",IF(G8="C","CUKUP",IF(G8="D","BURUK","GAGAL"))))</f>
        <v>BAIK</v>
      </c>
    </row>
    <row r="9" spans="1:8" ht="13.8" thickBot="1">
      <c r="A9" s="230">
        <v>103</v>
      </c>
      <c r="B9" s="28" t="s">
        <v>309</v>
      </c>
      <c r="C9" s="155">
        <v>75</v>
      </c>
      <c r="D9" s="26">
        <v>86</v>
      </c>
      <c r="E9" s="155">
        <v>82</v>
      </c>
      <c r="F9" s="48">
        <f t="shared" si="0"/>
        <v>81</v>
      </c>
      <c r="G9" s="232" t="str" cm="1">
        <f t="array" ref="G9">_xlfn.IFS(F9&lt;=60,"E",F9&lt;=74,"D",F9&lt;=85,"C",F9&lt;=89,"B",F9&gt;=90,"A")</f>
        <v>C</v>
      </c>
      <c r="H9" s="50" t="str">
        <f t="shared" si="1"/>
        <v>CUKUP</v>
      </c>
    </row>
    <row r="10" spans="1:8" ht="13.8" thickBot="1">
      <c r="A10" s="230">
        <v>104</v>
      </c>
      <c r="B10" s="28" t="s">
        <v>310</v>
      </c>
      <c r="C10" s="155">
        <v>86</v>
      </c>
      <c r="D10" s="26">
        <v>80</v>
      </c>
      <c r="E10" s="155">
        <v>90</v>
      </c>
      <c r="F10" s="48">
        <f t="shared" si="0"/>
        <v>85.333333333333329</v>
      </c>
      <c r="G10" s="232" t="str" cm="1">
        <f t="array" ref="G10">_xlfn.IFS(F10&lt;=60,"E",F10&lt;=74,"D",F10&lt;=85,"C",F10&lt;=89,"B",F10&gt;=90,"A")</f>
        <v>B</v>
      </c>
      <c r="H10" s="50" t="str">
        <f t="shared" si="1"/>
        <v>BAIK</v>
      </c>
    </row>
    <row r="11" spans="1:8" ht="13.8" thickBot="1">
      <c r="A11" s="230">
        <v>105</v>
      </c>
      <c r="B11" s="28" t="s">
        <v>311</v>
      </c>
      <c r="C11" s="155">
        <v>90</v>
      </c>
      <c r="D11" s="26">
        <v>93</v>
      </c>
      <c r="E11" s="155">
        <v>92</v>
      </c>
      <c r="F11" s="48">
        <f t="shared" si="0"/>
        <v>91.666666666666671</v>
      </c>
      <c r="G11" s="232" t="str" cm="1">
        <f t="array" ref="G11">_xlfn.IFS(F11&lt;=60,"E",F11&lt;=74,"D",F11&lt;=85,"C",F11&lt;=89,"B",F11&gt;=90,"A")</f>
        <v>A</v>
      </c>
      <c r="H11" s="50" t="str">
        <f t="shared" si="1"/>
        <v>ISTIMEWA</v>
      </c>
    </row>
    <row r="12" spans="1:8" ht="13.8" thickBot="1">
      <c r="A12" s="230">
        <v>106</v>
      </c>
      <c r="B12" s="28" t="s">
        <v>312</v>
      </c>
      <c r="C12" s="155">
        <v>60</v>
      </c>
      <c r="D12" s="26">
        <v>62</v>
      </c>
      <c r="E12" s="155">
        <v>55</v>
      </c>
      <c r="F12" s="48">
        <f t="shared" si="0"/>
        <v>59</v>
      </c>
      <c r="G12" s="232" t="str" cm="1">
        <f t="array" ref="G12">_xlfn.IFS(F12&lt;=60,"E",F12&lt;=74,"D",F12&lt;=85,"C",F12&lt;=89,"B",F12&gt;=90,"A")</f>
        <v>E</v>
      </c>
      <c r="H12" s="50" t="str">
        <f t="shared" si="1"/>
        <v>GAGAL</v>
      </c>
    </row>
    <row r="13" spans="1:8" ht="13.8" thickBot="1">
      <c r="A13" s="230">
        <v>107</v>
      </c>
      <c r="B13" s="28" t="s">
        <v>313</v>
      </c>
      <c r="C13" s="155">
        <v>95</v>
      </c>
      <c r="D13" s="26">
        <v>97</v>
      </c>
      <c r="E13" s="155">
        <v>98</v>
      </c>
      <c r="F13" s="48">
        <f t="shared" si="0"/>
        <v>96.666666666666671</v>
      </c>
      <c r="G13" s="232" t="str" cm="1">
        <f t="array" ref="G13">_xlfn.IFS(F13&lt;=60,"E",F13&lt;=74,"D",F13&lt;=85,"C",F13&lt;=89,"B",F13&gt;=90,"A")</f>
        <v>A</v>
      </c>
      <c r="H13" s="50" t="str">
        <f t="shared" si="1"/>
        <v>ISTIMEWA</v>
      </c>
    </row>
    <row r="14" spans="1:8" ht="13.8" thickBot="1">
      <c r="A14" s="231">
        <v>108</v>
      </c>
      <c r="B14" s="49" t="s">
        <v>314</v>
      </c>
      <c r="C14" s="156">
        <v>60</v>
      </c>
      <c r="D14" s="27">
        <v>65</v>
      </c>
      <c r="E14" s="156">
        <v>60</v>
      </c>
      <c r="F14" s="27">
        <f t="shared" si="0"/>
        <v>61.666666666666664</v>
      </c>
      <c r="G14" s="232" t="str" cm="1">
        <f t="array" ref="G14">_xlfn.IFS(F14&lt;=60,"E",F14&lt;=74,"D",F14&lt;=85,"C",F14&lt;=89,"B",F14&gt;=90,"A")</f>
        <v>D</v>
      </c>
      <c r="H14" s="50" t="str">
        <f t="shared" si="1"/>
        <v>BURUK</v>
      </c>
    </row>
    <row r="15" spans="1:8">
      <c r="A15" s="223" t="s">
        <v>304</v>
      </c>
      <c r="B15" s="224"/>
      <c r="C15" s="217"/>
      <c r="D15" s="217"/>
      <c r="E15" s="218"/>
      <c r="F15" s="572">
        <f>COUNT(A7:A14)</f>
        <v>8</v>
      </c>
    </row>
    <row r="16" spans="1:8">
      <c r="A16" s="225" t="s">
        <v>316</v>
      </c>
      <c r="B16" s="226"/>
      <c r="C16" s="219"/>
      <c r="D16" s="219"/>
      <c r="E16" s="220"/>
      <c r="F16" s="572">
        <f>AVERAGE(F7:F14)</f>
        <v>80.791666666666657</v>
      </c>
    </row>
    <row r="17" spans="1:6">
      <c r="A17" s="225" t="s">
        <v>305</v>
      </c>
      <c r="B17" s="226"/>
      <c r="C17" s="219"/>
      <c r="D17" s="219"/>
      <c r="E17" s="220"/>
      <c r="F17" s="572">
        <f>MAX(F7:F14)</f>
        <v>96.666666666666671</v>
      </c>
    </row>
    <row r="18" spans="1:6" ht="13.8" thickBot="1">
      <c r="A18" s="227" t="s">
        <v>306</v>
      </c>
      <c r="B18" s="228"/>
      <c r="C18" s="221"/>
      <c r="D18" s="221"/>
      <c r="E18" s="222"/>
      <c r="F18" s="572">
        <f>MIN(F7:F14)</f>
        <v>59</v>
      </c>
    </row>
    <row r="19" spans="1:6" ht="13.8" thickTop="1"/>
    <row r="20" spans="1:6">
      <c r="A20" t="s">
        <v>118</v>
      </c>
    </row>
    <row r="21" spans="1:6">
      <c r="A21" t="s">
        <v>318</v>
      </c>
    </row>
    <row r="22" spans="1:6">
      <c r="A22" t="s">
        <v>319</v>
      </c>
    </row>
    <row r="23" spans="1:6">
      <c r="B23" t="s">
        <v>1186</v>
      </c>
    </row>
    <row r="24" spans="1:6">
      <c r="B24" t="s">
        <v>1185</v>
      </c>
    </row>
    <row r="25" spans="1:6">
      <c r="B25" t="s">
        <v>1184</v>
      </c>
    </row>
    <row r="26" spans="1:6">
      <c r="B26" t="s">
        <v>1183</v>
      </c>
    </row>
    <row r="27" spans="1:6">
      <c r="B27" t="s">
        <v>320</v>
      </c>
    </row>
    <row r="28" spans="1:6">
      <c r="A28" t="s">
        <v>321</v>
      </c>
    </row>
    <row r="29" spans="1:6">
      <c r="B29" t="s">
        <v>322</v>
      </c>
    </row>
    <row r="30" spans="1:6">
      <c r="B30" t="s">
        <v>323</v>
      </c>
    </row>
    <row r="31" spans="1:6">
      <c r="B31" t="s">
        <v>324</v>
      </c>
    </row>
    <row r="32" spans="1:6">
      <c r="B32" t="s">
        <v>325</v>
      </c>
    </row>
    <row r="33" spans="2:2">
      <c r="B33" t="s">
        <v>326</v>
      </c>
    </row>
  </sheetData>
  <mergeCells count="2">
    <mergeCell ref="A3:H3"/>
    <mergeCell ref="A4:H4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3"/>
  <sheetViews>
    <sheetView workbookViewId="0">
      <selection activeCell="H18" sqref="H18"/>
    </sheetView>
  </sheetViews>
  <sheetFormatPr defaultRowHeight="13.2"/>
  <cols>
    <col min="1" max="1" width="12.6640625" customWidth="1"/>
    <col min="2" max="2" width="16.109375" customWidth="1"/>
    <col min="3" max="3" width="12.88671875" customWidth="1"/>
    <col min="4" max="4" width="11" customWidth="1"/>
    <col min="6" max="6" width="12.44140625" customWidth="1"/>
    <col min="7" max="7" width="14.5546875" customWidth="1"/>
    <col min="8" max="8" width="15.33203125" customWidth="1"/>
  </cols>
  <sheetData>
    <row r="1" spans="1:8" ht="16.2">
      <c r="A1" s="68" t="s">
        <v>327</v>
      </c>
    </row>
    <row r="3" spans="1:8" ht="15">
      <c r="A3" s="643" t="s">
        <v>356</v>
      </c>
      <c r="B3" s="643"/>
      <c r="C3" s="643"/>
      <c r="D3" s="643"/>
      <c r="E3" s="643"/>
      <c r="F3" s="643"/>
      <c r="G3" s="643"/>
      <c r="H3" s="643"/>
    </row>
    <row r="4" spans="1:8" ht="15">
      <c r="A4" s="643" t="s">
        <v>357</v>
      </c>
      <c r="B4" s="643"/>
      <c r="C4" s="643"/>
      <c r="D4" s="643"/>
      <c r="E4" s="643"/>
      <c r="F4" s="643"/>
      <c r="G4" s="643"/>
      <c r="H4" s="643"/>
    </row>
    <row r="5" spans="1:8" ht="15">
      <c r="A5" s="643" t="s">
        <v>328</v>
      </c>
      <c r="B5" s="643"/>
      <c r="C5" s="643"/>
      <c r="D5" s="643"/>
      <c r="E5" s="643"/>
      <c r="F5" s="643"/>
      <c r="G5" s="643"/>
      <c r="H5" s="643"/>
    </row>
    <row r="6" spans="1:8" ht="13.8" thickBot="1"/>
    <row r="7" spans="1:8">
      <c r="A7" s="650" t="s">
        <v>334</v>
      </c>
      <c r="B7" s="233" t="s">
        <v>329</v>
      </c>
      <c r="C7" s="233" t="s">
        <v>330</v>
      </c>
      <c r="D7" s="233" t="s">
        <v>331</v>
      </c>
      <c r="E7" s="233" t="s">
        <v>332</v>
      </c>
      <c r="F7" s="233" t="s">
        <v>332</v>
      </c>
      <c r="G7" s="652" t="s">
        <v>338</v>
      </c>
      <c r="H7" s="234" t="s">
        <v>333</v>
      </c>
    </row>
    <row r="8" spans="1:8">
      <c r="A8" s="651"/>
      <c r="B8" s="235" t="s">
        <v>335</v>
      </c>
      <c r="C8" s="235" t="s">
        <v>336</v>
      </c>
      <c r="D8" s="235" t="s">
        <v>335</v>
      </c>
      <c r="E8" s="235" t="s">
        <v>337</v>
      </c>
      <c r="F8" s="235" t="s">
        <v>30</v>
      </c>
      <c r="G8" s="653"/>
      <c r="H8" s="236" t="s">
        <v>339</v>
      </c>
    </row>
    <row r="9" spans="1:8">
      <c r="A9" s="237" t="s">
        <v>352</v>
      </c>
      <c r="B9" s="240" t="s">
        <v>340</v>
      </c>
      <c r="C9" s="240">
        <v>6</v>
      </c>
      <c r="D9" s="242" t="str">
        <f>VLOOKUP(B9,$A$21:$D$27,2,FALSE)</f>
        <v>NOKIA</v>
      </c>
      <c r="E9" s="242">
        <f>VLOOKUP(B9,$A$21:$D$27,3,0)</f>
        <v>1300000</v>
      </c>
      <c r="F9" s="242">
        <f>C9*E9</f>
        <v>7800000</v>
      </c>
      <c r="G9" s="541">
        <f>VLOOKUP(B9,$A$21:$D$27,4,0)</f>
        <v>0.11</v>
      </c>
      <c r="H9" s="542">
        <f>F9-(F9*G9)</f>
        <v>6942000</v>
      </c>
    </row>
    <row r="10" spans="1:8">
      <c r="A10" s="238" t="s">
        <v>353</v>
      </c>
      <c r="B10" s="241" t="s">
        <v>341</v>
      </c>
      <c r="C10" s="241">
        <v>13</v>
      </c>
      <c r="D10" s="158" t="str">
        <f>VLOOKUP(B10,$A$21:$D$27,2,0)</f>
        <v>ERICSON</v>
      </c>
      <c r="E10" s="158">
        <f>VLOOKUP(B10,$A$21:$D$27,3,0)</f>
        <v>1050000</v>
      </c>
      <c r="F10" s="158">
        <f>C10*E10</f>
        <v>13650000</v>
      </c>
      <c r="G10" s="541">
        <f t="shared" ref="G10:G17" si="0">VLOOKUP(B10,$A$21:$D$27,4,0)</f>
        <v>0.1</v>
      </c>
      <c r="H10" s="542">
        <f t="shared" ref="H10:H17" si="1">F10-(F10*G10)</f>
        <v>12285000</v>
      </c>
    </row>
    <row r="11" spans="1:8">
      <c r="A11" s="238" t="s">
        <v>354</v>
      </c>
      <c r="B11" s="241" t="s">
        <v>340</v>
      </c>
      <c r="C11" s="241">
        <v>25</v>
      </c>
      <c r="D11" s="158" t="str">
        <f>VLOOKUP(B11,$A$21:$D$27,2,0)</f>
        <v>NOKIA</v>
      </c>
      <c r="E11" s="158">
        <f>VLOOKUP(B11,$A$21:$D$27,3,0)</f>
        <v>1300000</v>
      </c>
      <c r="F11" s="158">
        <f t="shared" ref="F11:F17" si="2">C11*E11</f>
        <v>32500000</v>
      </c>
      <c r="G11" s="541">
        <f t="shared" si="0"/>
        <v>0.11</v>
      </c>
      <c r="H11" s="542">
        <f t="shared" si="1"/>
        <v>28925000</v>
      </c>
    </row>
    <row r="12" spans="1:8">
      <c r="A12" s="238" t="s">
        <v>355</v>
      </c>
      <c r="B12" s="241" t="s">
        <v>342</v>
      </c>
      <c r="C12" s="241">
        <v>12</v>
      </c>
      <c r="D12" s="158" t="str">
        <f t="shared" ref="D12:D17" si="3">VLOOKUP(B12,$A$21:$D$27,2,0)</f>
        <v>PHILIPS</v>
      </c>
      <c r="E12" s="158">
        <f t="shared" ref="E12:E17" si="4">VLOOKUP(B12,$A$21:$D$27,3,0)</f>
        <v>650000</v>
      </c>
      <c r="F12" s="158">
        <f t="shared" si="2"/>
        <v>7800000</v>
      </c>
      <c r="G12" s="541">
        <f t="shared" si="0"/>
        <v>0.15</v>
      </c>
      <c r="H12" s="542">
        <f t="shared" si="1"/>
        <v>6630000</v>
      </c>
    </row>
    <row r="13" spans="1:8">
      <c r="A13" s="239">
        <v>36685</v>
      </c>
      <c r="B13" s="241" t="s">
        <v>343</v>
      </c>
      <c r="C13" s="241">
        <v>8</v>
      </c>
      <c r="D13" s="158" t="str">
        <f t="shared" si="3"/>
        <v>MOTOROLA</v>
      </c>
      <c r="E13" s="158">
        <f t="shared" si="4"/>
        <v>1250000</v>
      </c>
      <c r="F13" s="158">
        <f t="shared" si="2"/>
        <v>10000000</v>
      </c>
      <c r="G13" s="541">
        <f t="shared" si="0"/>
        <v>0.1</v>
      </c>
      <c r="H13" s="542">
        <f t="shared" si="1"/>
        <v>9000000</v>
      </c>
    </row>
    <row r="14" spans="1:8">
      <c r="A14" s="239">
        <v>36688</v>
      </c>
      <c r="B14" s="241" t="s">
        <v>344</v>
      </c>
      <c r="C14" s="241">
        <v>27</v>
      </c>
      <c r="D14" s="158" t="str">
        <f t="shared" si="3"/>
        <v>NEC</v>
      </c>
      <c r="E14" s="158">
        <f t="shared" si="4"/>
        <v>650000</v>
      </c>
      <c r="F14" s="158">
        <f t="shared" si="2"/>
        <v>17550000</v>
      </c>
      <c r="G14" s="541">
        <f t="shared" si="0"/>
        <v>0.12</v>
      </c>
      <c r="H14" s="542">
        <f t="shared" si="1"/>
        <v>15444000</v>
      </c>
    </row>
    <row r="15" spans="1:8">
      <c r="A15" s="239">
        <v>36692</v>
      </c>
      <c r="B15" s="241" t="s">
        <v>344</v>
      </c>
      <c r="C15" s="241">
        <v>12</v>
      </c>
      <c r="D15" s="158" t="str">
        <f t="shared" si="3"/>
        <v>NEC</v>
      </c>
      <c r="E15" s="158">
        <f t="shared" si="4"/>
        <v>650000</v>
      </c>
      <c r="F15" s="158">
        <f t="shared" si="2"/>
        <v>7800000</v>
      </c>
      <c r="G15" s="541">
        <f t="shared" si="0"/>
        <v>0.12</v>
      </c>
      <c r="H15" s="542">
        <f t="shared" si="1"/>
        <v>6864000</v>
      </c>
    </row>
    <row r="16" spans="1:8">
      <c r="A16" s="239">
        <v>36696</v>
      </c>
      <c r="B16" s="241" t="s">
        <v>342</v>
      </c>
      <c r="C16" s="241">
        <v>20</v>
      </c>
      <c r="D16" s="158" t="str">
        <f t="shared" si="3"/>
        <v>PHILIPS</v>
      </c>
      <c r="E16" s="158">
        <f t="shared" si="4"/>
        <v>650000</v>
      </c>
      <c r="F16" s="158">
        <f t="shared" si="2"/>
        <v>13000000</v>
      </c>
      <c r="G16" s="541">
        <f t="shared" si="0"/>
        <v>0.15</v>
      </c>
      <c r="H16" s="542">
        <f t="shared" si="1"/>
        <v>11050000</v>
      </c>
    </row>
    <row r="17" spans="1:8">
      <c r="A17" s="239">
        <v>36704</v>
      </c>
      <c r="B17" s="241" t="s">
        <v>343</v>
      </c>
      <c r="C17" s="241">
        <v>25</v>
      </c>
      <c r="D17" s="158" t="str">
        <f t="shared" si="3"/>
        <v>MOTOROLA</v>
      </c>
      <c r="E17" s="158">
        <f t="shared" si="4"/>
        <v>1250000</v>
      </c>
      <c r="F17" s="158">
        <f t="shared" si="2"/>
        <v>31250000</v>
      </c>
      <c r="G17" s="541">
        <f t="shared" si="0"/>
        <v>0.1</v>
      </c>
      <c r="H17" s="542">
        <f t="shared" si="1"/>
        <v>28125000</v>
      </c>
    </row>
    <row r="18" spans="1:8" ht="13.8" thickBot="1">
      <c r="A18" s="646" t="s">
        <v>362</v>
      </c>
      <c r="B18" s="647"/>
      <c r="C18" s="647"/>
      <c r="D18" s="648"/>
      <c r="E18" s="649"/>
      <c r="F18" s="243">
        <f>SUM(F9:F17)</f>
        <v>141350000</v>
      </c>
      <c r="G18" s="243" t="s">
        <v>117</v>
      </c>
      <c r="H18" s="573">
        <f>SUM(H9:H17)</f>
        <v>125265000</v>
      </c>
    </row>
    <row r="19" spans="1:8">
      <c r="F19" s="51"/>
    </row>
    <row r="20" spans="1:8" ht="13.8" thickBot="1">
      <c r="A20" t="s">
        <v>345</v>
      </c>
    </row>
    <row r="21" spans="1:8">
      <c r="A21" s="244" t="s">
        <v>329</v>
      </c>
      <c r="B21" s="245" t="s">
        <v>331</v>
      </c>
      <c r="C21" s="245" t="s">
        <v>346</v>
      </c>
      <c r="D21" s="644" t="s">
        <v>338</v>
      </c>
    </row>
    <row r="22" spans="1:8">
      <c r="A22" s="246" t="s">
        <v>335</v>
      </c>
      <c r="B22" s="247" t="s">
        <v>335</v>
      </c>
      <c r="C22" s="247" t="s">
        <v>337</v>
      </c>
      <c r="D22" s="645"/>
    </row>
    <row r="23" spans="1:8">
      <c r="A23" s="248" t="s">
        <v>343</v>
      </c>
      <c r="B23" s="249" t="s">
        <v>347</v>
      </c>
      <c r="C23" s="250">
        <v>1250000</v>
      </c>
      <c r="D23" s="251">
        <v>0.1</v>
      </c>
    </row>
    <row r="24" spans="1:8">
      <c r="A24" s="248" t="s">
        <v>344</v>
      </c>
      <c r="B24" s="249" t="s">
        <v>348</v>
      </c>
      <c r="C24" s="250">
        <v>650000</v>
      </c>
      <c r="D24" s="251">
        <v>0.12</v>
      </c>
    </row>
    <row r="25" spans="1:8">
      <c r="A25" s="248" t="s">
        <v>340</v>
      </c>
      <c r="B25" s="249" t="s">
        <v>349</v>
      </c>
      <c r="C25" s="250">
        <v>1300000</v>
      </c>
      <c r="D25" s="251">
        <v>0.11</v>
      </c>
    </row>
    <row r="26" spans="1:8">
      <c r="A26" s="248" t="s">
        <v>341</v>
      </c>
      <c r="B26" s="249" t="s">
        <v>350</v>
      </c>
      <c r="C26" s="250">
        <v>1050000</v>
      </c>
      <c r="D26" s="251">
        <v>0.1</v>
      </c>
    </row>
    <row r="27" spans="1:8" ht="13.8" thickBot="1">
      <c r="A27" s="252" t="s">
        <v>342</v>
      </c>
      <c r="B27" s="253" t="s">
        <v>351</v>
      </c>
      <c r="C27" s="254">
        <v>650000</v>
      </c>
      <c r="D27" s="255">
        <v>0.15</v>
      </c>
    </row>
    <row r="29" spans="1:8">
      <c r="A29" s="51" t="s">
        <v>24</v>
      </c>
    </row>
    <row r="30" spans="1:8">
      <c r="A30" s="51" t="s">
        <v>358</v>
      </c>
    </row>
    <row r="31" spans="1:8">
      <c r="A31" t="s">
        <v>359</v>
      </c>
    </row>
    <row r="32" spans="1:8">
      <c r="A32" t="s">
        <v>360</v>
      </c>
    </row>
    <row r="33" spans="1:1">
      <c r="A33" t="s">
        <v>361</v>
      </c>
    </row>
  </sheetData>
  <mergeCells count="7">
    <mergeCell ref="A3:H3"/>
    <mergeCell ref="A4:H4"/>
    <mergeCell ref="A5:H5"/>
    <mergeCell ref="D21:D22"/>
    <mergeCell ref="A18:E18"/>
    <mergeCell ref="A7:A8"/>
    <mergeCell ref="G7:G8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6"/>
  <sheetViews>
    <sheetView topLeftCell="A5" workbookViewId="0">
      <selection activeCell="M15" sqref="M15"/>
    </sheetView>
  </sheetViews>
  <sheetFormatPr defaultRowHeight="13.2"/>
  <cols>
    <col min="2" max="2" width="19.109375" customWidth="1"/>
    <col min="3" max="3" width="11.33203125" customWidth="1"/>
    <col min="5" max="5" width="13" customWidth="1"/>
    <col min="6" max="6" width="11.33203125" customWidth="1"/>
    <col min="7" max="7" width="16" customWidth="1"/>
    <col min="8" max="8" width="10.5546875" bestFit="1" customWidth="1"/>
    <col min="9" max="9" width="12.5546875" bestFit="1" customWidth="1"/>
  </cols>
  <sheetData>
    <row r="1" spans="1:9" ht="19.8">
      <c r="A1" s="53" t="s">
        <v>363</v>
      </c>
    </row>
    <row r="3" spans="1:9" ht="13.8" thickBot="1">
      <c r="A3" t="s">
        <v>364</v>
      </c>
    </row>
    <row r="4" spans="1:9" ht="26.4">
      <c r="A4" s="256" t="s">
        <v>365</v>
      </c>
      <c r="B4" s="144" t="s">
        <v>366</v>
      </c>
      <c r="C4" s="145" t="s">
        <v>367</v>
      </c>
    </row>
    <row r="5" spans="1:9">
      <c r="A5" s="257" t="s">
        <v>368</v>
      </c>
      <c r="B5" s="258" t="s">
        <v>369</v>
      </c>
      <c r="C5" s="259">
        <v>55000</v>
      </c>
    </row>
    <row r="6" spans="1:9">
      <c r="A6" s="257" t="s">
        <v>370</v>
      </c>
      <c r="B6" s="258" t="s">
        <v>371</v>
      </c>
      <c r="C6" s="259">
        <v>85000</v>
      </c>
    </row>
    <row r="7" spans="1:9">
      <c r="A7" s="257" t="s">
        <v>372</v>
      </c>
      <c r="B7" s="258" t="s">
        <v>373</v>
      </c>
      <c r="C7" s="259">
        <v>65000</v>
      </c>
      <c r="E7" s="13" t="s">
        <v>374</v>
      </c>
    </row>
    <row r="8" spans="1:9" ht="13.8" thickBot="1">
      <c r="A8" s="260" t="s">
        <v>375</v>
      </c>
      <c r="B8" s="261" t="s">
        <v>376</v>
      </c>
      <c r="C8" s="262">
        <v>75000</v>
      </c>
    </row>
    <row r="9" spans="1:9" ht="13.8" thickBot="1">
      <c r="A9" s="6"/>
    </row>
    <row r="10" spans="1:9" ht="27" thickBot="1">
      <c r="A10" s="263" t="s">
        <v>377</v>
      </c>
      <c r="B10" s="264" t="s">
        <v>378</v>
      </c>
      <c r="C10" s="264" t="s">
        <v>379</v>
      </c>
      <c r="D10" s="264" t="s">
        <v>365</v>
      </c>
      <c r="E10" s="265" t="s">
        <v>380</v>
      </c>
      <c r="F10" s="265" t="s">
        <v>367</v>
      </c>
      <c r="G10" s="264" t="s">
        <v>201</v>
      </c>
      <c r="H10" s="264" t="s">
        <v>381</v>
      </c>
      <c r="I10" s="266" t="s">
        <v>382</v>
      </c>
    </row>
    <row r="11" spans="1:9">
      <c r="A11" s="267" t="s">
        <v>383</v>
      </c>
      <c r="B11" s="272" t="s">
        <v>384</v>
      </c>
      <c r="C11" s="554" t="str">
        <f>RIGHT(A11,2)</f>
        <v>04</v>
      </c>
      <c r="D11" s="275" t="str">
        <f>LEFT(A11,2)</f>
        <v>B3</v>
      </c>
      <c r="E11" s="275" t="str">
        <f>VLOOKUP(D11,$A$5:$C$8,2,0)</f>
        <v>Personalia</v>
      </c>
      <c r="F11" s="582">
        <f>VLOOKUP(D11,$A$5:$C$8,3,0)</f>
        <v>85000</v>
      </c>
      <c r="G11" s="582">
        <f>IF(OR(C11="03",C11="04"),17%*F11,0)</f>
        <v>14450.000000000002</v>
      </c>
      <c r="H11" s="582">
        <f>7.5%*F11</f>
        <v>6375</v>
      </c>
      <c r="I11" s="583">
        <f>F11+G11-H11</f>
        <v>93075</v>
      </c>
    </row>
    <row r="12" spans="1:9">
      <c r="A12" s="268" t="s">
        <v>385</v>
      </c>
      <c r="B12" s="273" t="s">
        <v>386</v>
      </c>
      <c r="C12" s="554" t="str">
        <f t="shared" ref="C12:C22" si="0">RIGHT(A12,2)</f>
        <v>03</v>
      </c>
      <c r="D12" s="275" t="str">
        <f t="shared" ref="D12:D22" si="1">LEFT(A12,2)</f>
        <v>C4</v>
      </c>
      <c r="E12" s="275" t="str">
        <f t="shared" ref="E12:E22" si="2">VLOOKUP(D12,$A$5:$C$8,2,0)</f>
        <v>Equipment</v>
      </c>
      <c r="F12" s="582">
        <f t="shared" ref="F12:F22" si="3">VLOOKUP(D12,$A$5:$C$8,3,0)</f>
        <v>65000</v>
      </c>
      <c r="G12" s="582">
        <f t="shared" ref="G12:G22" si="4">IF(OR(C12="03",C12="04"),17%*F12,0)</f>
        <v>11050</v>
      </c>
      <c r="H12" s="582">
        <f t="shared" ref="H12:H22" si="5">7.5%*F12</f>
        <v>4875</v>
      </c>
      <c r="I12" s="583">
        <f t="shared" ref="I12:I22" si="6">F12+G12-H12</f>
        <v>71175</v>
      </c>
    </row>
    <row r="13" spans="1:9">
      <c r="A13" s="268" t="s">
        <v>387</v>
      </c>
      <c r="B13" s="273" t="s">
        <v>388</v>
      </c>
      <c r="C13" s="554" t="str">
        <f t="shared" si="0"/>
        <v>04</v>
      </c>
      <c r="D13" s="275" t="str">
        <f t="shared" si="1"/>
        <v>D5</v>
      </c>
      <c r="E13" s="275" t="str">
        <f t="shared" si="2"/>
        <v>Markting</v>
      </c>
      <c r="F13" s="582">
        <f t="shared" si="3"/>
        <v>75000</v>
      </c>
      <c r="G13" s="582">
        <f t="shared" si="4"/>
        <v>12750.000000000002</v>
      </c>
      <c r="H13" s="582">
        <f t="shared" si="5"/>
        <v>5625</v>
      </c>
      <c r="I13" s="583">
        <f t="shared" si="6"/>
        <v>82125</v>
      </c>
    </row>
    <row r="14" spans="1:9">
      <c r="A14" s="268" t="s">
        <v>389</v>
      </c>
      <c r="B14" s="273" t="s">
        <v>390</v>
      </c>
      <c r="C14" s="554" t="str">
        <f t="shared" si="0"/>
        <v>01</v>
      </c>
      <c r="D14" s="275" t="str">
        <f t="shared" si="1"/>
        <v>A2</v>
      </c>
      <c r="E14" s="275" t="str">
        <f t="shared" si="2"/>
        <v>Operasional</v>
      </c>
      <c r="F14" s="582">
        <f t="shared" si="3"/>
        <v>55000</v>
      </c>
      <c r="G14" s="582">
        <f t="shared" si="4"/>
        <v>0</v>
      </c>
      <c r="H14" s="582">
        <f t="shared" si="5"/>
        <v>4125</v>
      </c>
      <c r="I14" s="583">
        <f t="shared" si="6"/>
        <v>50875</v>
      </c>
    </row>
    <row r="15" spans="1:9">
      <c r="A15" s="268" t="s">
        <v>385</v>
      </c>
      <c r="B15" s="273" t="s">
        <v>391</v>
      </c>
      <c r="C15" s="554" t="str">
        <f t="shared" si="0"/>
        <v>03</v>
      </c>
      <c r="D15" s="275" t="str">
        <f t="shared" si="1"/>
        <v>C4</v>
      </c>
      <c r="E15" s="275" t="str">
        <f t="shared" si="2"/>
        <v>Equipment</v>
      </c>
      <c r="F15" s="582">
        <f t="shared" si="3"/>
        <v>65000</v>
      </c>
      <c r="G15" s="582">
        <f t="shared" si="4"/>
        <v>11050</v>
      </c>
      <c r="H15" s="582">
        <f t="shared" si="5"/>
        <v>4875</v>
      </c>
      <c r="I15" s="583">
        <f t="shared" si="6"/>
        <v>71175</v>
      </c>
    </row>
    <row r="16" spans="1:9">
      <c r="A16" s="268" t="s">
        <v>387</v>
      </c>
      <c r="B16" s="273" t="s">
        <v>392</v>
      </c>
      <c r="C16" s="554" t="str">
        <f t="shared" si="0"/>
        <v>04</v>
      </c>
      <c r="D16" s="275" t="str">
        <f t="shared" si="1"/>
        <v>D5</v>
      </c>
      <c r="E16" s="275" t="str">
        <f t="shared" si="2"/>
        <v>Markting</v>
      </c>
      <c r="F16" s="582">
        <f t="shared" si="3"/>
        <v>75000</v>
      </c>
      <c r="G16" s="582">
        <f t="shared" si="4"/>
        <v>12750.000000000002</v>
      </c>
      <c r="H16" s="582">
        <f t="shared" si="5"/>
        <v>5625</v>
      </c>
      <c r="I16" s="583">
        <f t="shared" si="6"/>
        <v>82125</v>
      </c>
    </row>
    <row r="17" spans="1:10">
      <c r="A17" s="268" t="s">
        <v>393</v>
      </c>
      <c r="B17" s="273" t="s">
        <v>394</v>
      </c>
      <c r="C17" s="554" t="str">
        <f t="shared" si="0"/>
        <v>02</v>
      </c>
      <c r="D17" s="275" t="str">
        <f t="shared" si="1"/>
        <v>B3</v>
      </c>
      <c r="E17" s="275" t="str">
        <f t="shared" si="2"/>
        <v>Personalia</v>
      </c>
      <c r="F17" s="582">
        <f t="shared" si="3"/>
        <v>85000</v>
      </c>
      <c r="G17" s="582">
        <f t="shared" si="4"/>
        <v>0</v>
      </c>
      <c r="H17" s="582">
        <f t="shared" si="5"/>
        <v>6375</v>
      </c>
      <c r="I17" s="583">
        <f t="shared" si="6"/>
        <v>78625</v>
      </c>
    </row>
    <row r="18" spans="1:10">
      <c r="A18" s="268" t="s">
        <v>389</v>
      </c>
      <c r="B18" s="273" t="s">
        <v>395</v>
      </c>
      <c r="C18" s="554" t="str">
        <f t="shared" si="0"/>
        <v>01</v>
      </c>
      <c r="D18" s="275" t="str">
        <f t="shared" si="1"/>
        <v>A2</v>
      </c>
      <c r="E18" s="275" t="str">
        <f t="shared" si="2"/>
        <v>Operasional</v>
      </c>
      <c r="F18" s="582">
        <f t="shared" si="3"/>
        <v>55000</v>
      </c>
      <c r="G18" s="582">
        <f t="shared" si="4"/>
        <v>0</v>
      </c>
      <c r="H18" s="582">
        <f t="shared" si="5"/>
        <v>4125</v>
      </c>
      <c r="I18" s="583">
        <f t="shared" si="6"/>
        <v>50875</v>
      </c>
    </row>
    <row r="19" spans="1:10">
      <c r="A19" s="268" t="s">
        <v>385</v>
      </c>
      <c r="B19" s="273" t="s">
        <v>396</v>
      </c>
      <c r="C19" s="554" t="str">
        <f t="shared" si="0"/>
        <v>03</v>
      </c>
      <c r="D19" s="275" t="str">
        <f t="shared" si="1"/>
        <v>C4</v>
      </c>
      <c r="E19" s="275" t="str">
        <f t="shared" si="2"/>
        <v>Equipment</v>
      </c>
      <c r="F19" s="582">
        <f t="shared" si="3"/>
        <v>65000</v>
      </c>
      <c r="G19" s="582">
        <f t="shared" si="4"/>
        <v>11050</v>
      </c>
      <c r="H19" s="582">
        <f t="shared" si="5"/>
        <v>4875</v>
      </c>
      <c r="I19" s="583">
        <f t="shared" si="6"/>
        <v>71175</v>
      </c>
    </row>
    <row r="20" spans="1:10">
      <c r="A20" s="268" t="s">
        <v>389</v>
      </c>
      <c r="B20" s="273" t="s">
        <v>397</v>
      </c>
      <c r="C20" s="554" t="str">
        <f t="shared" si="0"/>
        <v>01</v>
      </c>
      <c r="D20" s="275" t="str">
        <f t="shared" si="1"/>
        <v>A2</v>
      </c>
      <c r="E20" s="275" t="str">
        <f t="shared" si="2"/>
        <v>Operasional</v>
      </c>
      <c r="F20" s="582">
        <f t="shared" si="3"/>
        <v>55000</v>
      </c>
      <c r="G20" s="582">
        <f t="shared" si="4"/>
        <v>0</v>
      </c>
      <c r="H20" s="582">
        <f t="shared" si="5"/>
        <v>4125</v>
      </c>
      <c r="I20" s="583">
        <f t="shared" si="6"/>
        <v>50875</v>
      </c>
    </row>
    <row r="21" spans="1:10">
      <c r="A21" s="268" t="s">
        <v>385</v>
      </c>
      <c r="B21" s="273" t="s">
        <v>398</v>
      </c>
      <c r="C21" s="554" t="str">
        <f t="shared" si="0"/>
        <v>03</v>
      </c>
      <c r="D21" s="275" t="str">
        <f t="shared" si="1"/>
        <v>C4</v>
      </c>
      <c r="E21" s="275" t="str">
        <f t="shared" si="2"/>
        <v>Equipment</v>
      </c>
      <c r="F21" s="582">
        <f t="shared" si="3"/>
        <v>65000</v>
      </c>
      <c r="G21" s="582">
        <f t="shared" si="4"/>
        <v>11050</v>
      </c>
      <c r="H21" s="582">
        <f t="shared" si="5"/>
        <v>4875</v>
      </c>
      <c r="I21" s="583">
        <f t="shared" si="6"/>
        <v>71175</v>
      </c>
    </row>
    <row r="22" spans="1:10" ht="13.8" thickBot="1">
      <c r="A22" s="269" t="s">
        <v>387</v>
      </c>
      <c r="B22" s="274" t="s">
        <v>399</v>
      </c>
      <c r="C22" s="554" t="str">
        <f t="shared" si="0"/>
        <v>04</v>
      </c>
      <c r="D22" s="275" t="str">
        <f t="shared" si="1"/>
        <v>D5</v>
      </c>
      <c r="E22" s="275" t="str">
        <f t="shared" si="2"/>
        <v>Markting</v>
      </c>
      <c r="F22" s="582">
        <f t="shared" si="3"/>
        <v>75000</v>
      </c>
      <c r="G22" s="582">
        <f t="shared" si="4"/>
        <v>12750.000000000002</v>
      </c>
      <c r="H22" s="582">
        <f t="shared" si="5"/>
        <v>5625</v>
      </c>
      <c r="I22" s="583">
        <f t="shared" si="6"/>
        <v>82125</v>
      </c>
    </row>
    <row r="23" spans="1:10">
      <c r="A23" s="66"/>
      <c r="B23" s="270" t="s">
        <v>291</v>
      </c>
      <c r="I23" s="584">
        <f>SUM(I11:I22)</f>
        <v>855400</v>
      </c>
    </row>
    <row r="24" spans="1:10">
      <c r="A24" s="66"/>
      <c r="B24" s="271" t="s">
        <v>400</v>
      </c>
      <c r="I24" s="584">
        <f>AVERAGE(I11:I22)</f>
        <v>71283.333333333328</v>
      </c>
    </row>
    <row r="25" spans="1:10" ht="13.8" thickBot="1">
      <c r="A25" s="67"/>
      <c r="B25" s="276" t="s">
        <v>401</v>
      </c>
      <c r="I25" s="584">
        <f>MAX(I11:I22)</f>
        <v>93075</v>
      </c>
    </row>
    <row r="27" spans="1:10" ht="13.8">
      <c r="A27" s="52" t="s">
        <v>402</v>
      </c>
      <c r="B27" s="52"/>
      <c r="C27" s="33"/>
      <c r="D27" s="33"/>
      <c r="E27" s="33"/>
      <c r="F27" s="33"/>
      <c r="G27" s="33"/>
      <c r="H27" s="33"/>
      <c r="I27" s="33"/>
      <c r="J27" s="33"/>
    </row>
    <row r="28" spans="1:10" ht="13.8">
      <c r="A28" s="52" t="s">
        <v>406</v>
      </c>
      <c r="B28" s="52"/>
      <c r="C28" s="33"/>
      <c r="D28" s="33"/>
      <c r="E28" s="33"/>
      <c r="F28" s="33"/>
      <c r="G28" s="33"/>
      <c r="H28" s="33"/>
      <c r="I28" s="33"/>
      <c r="J28" s="33"/>
    </row>
    <row r="29" spans="1:10" ht="13.8">
      <c r="A29" s="52" t="s">
        <v>407</v>
      </c>
      <c r="B29" s="52"/>
      <c r="C29" s="33"/>
      <c r="D29" s="33"/>
      <c r="E29" s="33"/>
      <c r="F29" s="33"/>
      <c r="G29" s="33"/>
      <c r="H29" s="33"/>
      <c r="I29" s="33"/>
      <c r="J29" s="33"/>
    </row>
    <row r="30" spans="1:10" ht="13.8">
      <c r="A30" s="52" t="s">
        <v>405</v>
      </c>
      <c r="B30" s="52"/>
      <c r="C30" s="33"/>
      <c r="D30" s="33"/>
      <c r="E30" s="33"/>
      <c r="F30" s="33"/>
      <c r="G30" s="33"/>
      <c r="H30" s="33"/>
      <c r="I30" s="33"/>
      <c r="J30" s="33"/>
    </row>
    <row r="31" spans="1:10" ht="13.8">
      <c r="A31" s="52" t="s">
        <v>403</v>
      </c>
      <c r="B31" s="52"/>
      <c r="C31" s="33"/>
      <c r="D31" s="33"/>
      <c r="E31" s="33"/>
      <c r="F31" s="33"/>
      <c r="G31" s="33"/>
      <c r="H31" s="33"/>
      <c r="I31" s="33"/>
      <c r="J31" s="33"/>
    </row>
    <row r="32" spans="1:10" ht="13.8">
      <c r="A32" s="52" t="s">
        <v>408</v>
      </c>
      <c r="B32" s="52"/>
      <c r="C32" s="33"/>
      <c r="D32" s="33"/>
      <c r="E32" s="33"/>
      <c r="F32" s="33"/>
      <c r="G32" s="33"/>
      <c r="H32" s="33"/>
      <c r="I32" s="33"/>
      <c r="J32" s="33"/>
    </row>
    <row r="33" spans="1:10" ht="13.8">
      <c r="A33" s="52" t="s">
        <v>404</v>
      </c>
      <c r="B33" s="52"/>
      <c r="C33" s="33"/>
      <c r="D33" s="33"/>
      <c r="E33" s="33"/>
      <c r="F33" s="33"/>
      <c r="G33" s="33"/>
      <c r="H33" s="33"/>
      <c r="I33" s="33"/>
      <c r="J33" s="33"/>
    </row>
    <row r="34" spans="1:10" ht="13.8">
      <c r="A34" s="52" t="s">
        <v>409</v>
      </c>
      <c r="B34" s="52"/>
      <c r="C34" s="33"/>
      <c r="D34" s="33"/>
      <c r="E34" s="33"/>
      <c r="F34" s="33"/>
      <c r="G34" s="33"/>
      <c r="H34" s="33"/>
      <c r="I34" s="33"/>
      <c r="J34" s="33"/>
    </row>
    <row r="35" spans="1:10" ht="13.8">
      <c r="A35" s="52" t="s">
        <v>410</v>
      </c>
      <c r="B35" s="52"/>
      <c r="C35" s="33"/>
      <c r="D35" s="33"/>
      <c r="E35" s="33"/>
      <c r="F35" s="33"/>
      <c r="G35" s="33"/>
      <c r="H35" s="33"/>
      <c r="I35" s="33"/>
      <c r="J35" s="33"/>
    </row>
    <row r="36" spans="1:10">
      <c r="A36" s="52" t="s">
        <v>411</v>
      </c>
    </row>
  </sheetData>
  <phoneticPr fontId="5" type="noConversion"/>
  <pageMargins left="0.27" right="0.26" top="1" bottom="1" header="0.5" footer="0.5"/>
  <pageSetup orientation="portrait" horizontalDpi="4294967293" vertic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0"/>
  <sheetViews>
    <sheetView workbookViewId="0">
      <selection activeCell="L23" sqref="L23"/>
    </sheetView>
  </sheetViews>
  <sheetFormatPr defaultRowHeight="13.2"/>
  <cols>
    <col min="1" max="1" width="4.44140625" customWidth="1"/>
    <col min="2" max="2" width="6" customWidth="1"/>
    <col min="5" max="5" width="8.109375" customWidth="1"/>
    <col min="6" max="6" width="15.33203125" customWidth="1"/>
    <col min="7" max="7" width="12.5546875" customWidth="1"/>
    <col min="9" max="9" width="13.44140625" customWidth="1"/>
    <col min="10" max="10" width="14.88671875" customWidth="1"/>
    <col min="11" max="11" width="11.88671875" customWidth="1"/>
    <col min="12" max="12" width="15.109375" customWidth="1"/>
  </cols>
  <sheetData>
    <row r="1" spans="1:12" ht="16.2">
      <c r="A1" s="11" t="s">
        <v>412</v>
      </c>
    </row>
    <row r="3" spans="1:12" ht="21">
      <c r="A3" s="654" t="s">
        <v>413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</row>
    <row r="4" spans="1:12">
      <c r="A4" s="586" t="s">
        <v>414</v>
      </c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2" ht="13.8" thickBot="1"/>
    <row r="6" spans="1:12" ht="26.4">
      <c r="A6" s="83" t="s">
        <v>2</v>
      </c>
      <c r="B6" s="84" t="s">
        <v>415</v>
      </c>
      <c r="C6" s="84" t="s">
        <v>416</v>
      </c>
      <c r="D6" s="84" t="s">
        <v>417</v>
      </c>
      <c r="E6" s="84" t="s">
        <v>418</v>
      </c>
      <c r="F6" s="84" t="s">
        <v>419</v>
      </c>
      <c r="G6" s="84" t="s">
        <v>437</v>
      </c>
      <c r="H6" s="84" t="s">
        <v>420</v>
      </c>
      <c r="I6" s="84" t="s">
        <v>421</v>
      </c>
      <c r="J6" s="84" t="s">
        <v>422</v>
      </c>
      <c r="K6" s="84" t="s">
        <v>423</v>
      </c>
      <c r="L6" s="85" t="s">
        <v>424</v>
      </c>
    </row>
    <row r="7" spans="1:12">
      <c r="A7" s="277">
        <v>1</v>
      </c>
      <c r="B7" s="15" t="s">
        <v>425</v>
      </c>
      <c r="C7" s="159" t="str">
        <f>VLOOKUP(B7,$B$25:$D$28,2,0)</f>
        <v>Aspirin</v>
      </c>
      <c r="D7" s="26">
        <f>VLOOKUP(B7,$B$25:$D$28,3,0)</f>
        <v>12500</v>
      </c>
      <c r="E7" s="159">
        <v>45</v>
      </c>
      <c r="F7" s="544">
        <f>D7*E7</f>
        <v>562500</v>
      </c>
      <c r="G7" s="159" t="s">
        <v>426</v>
      </c>
      <c r="H7" s="15" t="s">
        <v>209</v>
      </c>
      <c r="I7" s="545">
        <f>IF(G7="Tunai",15%*F7,0)</f>
        <v>84375</v>
      </c>
      <c r="J7" s="543">
        <f>IF(F7&gt;500000,10%*F7,0)</f>
        <v>56250</v>
      </c>
      <c r="K7" s="545">
        <f>5%*F7</f>
        <v>28125</v>
      </c>
      <c r="L7" s="546">
        <f>F7+K7-I7-J7</f>
        <v>450000</v>
      </c>
    </row>
    <row r="8" spans="1:12">
      <c r="A8" s="277">
        <v>2</v>
      </c>
      <c r="B8" s="15" t="s">
        <v>427</v>
      </c>
      <c r="C8" s="159" t="str">
        <f>VLOOKUP(B8,$B$25:$D$28,2,0)</f>
        <v>Decolsin</v>
      </c>
      <c r="D8" s="26">
        <f>VLOOKUP(B8,$B$25:$D$28,3,0)</f>
        <v>14550</v>
      </c>
      <c r="E8" s="159">
        <v>110</v>
      </c>
      <c r="F8" s="544">
        <f>D8*E8</f>
        <v>1600500</v>
      </c>
      <c r="G8" s="159" t="s">
        <v>428</v>
      </c>
      <c r="H8" s="15" t="s">
        <v>429</v>
      </c>
      <c r="I8" s="545">
        <f>IF(G8="Tunai",15%*F8,0)</f>
        <v>0</v>
      </c>
      <c r="J8" s="543">
        <f t="shared" ref="J8:J21" si="0">IF(F8&gt;500000,10%*F8,0)</f>
        <v>160050</v>
      </c>
      <c r="K8" s="545">
        <f t="shared" ref="K8:K21" si="1">5%*F8</f>
        <v>80025</v>
      </c>
      <c r="L8" s="546">
        <f t="shared" ref="L8:L21" si="2">F8+K8-I8-J8</f>
        <v>1520475</v>
      </c>
    </row>
    <row r="9" spans="1:12">
      <c r="A9" s="277">
        <v>3</v>
      </c>
      <c r="B9" s="15" t="s">
        <v>427</v>
      </c>
      <c r="C9" s="159" t="str">
        <f>VLOOKUP(B9,$B$25:$D$28,2,0)</f>
        <v>Decolsin</v>
      </c>
      <c r="D9" s="26">
        <f>VLOOKUP(B9,$B$25:$D$28,3,0)</f>
        <v>14550</v>
      </c>
      <c r="E9" s="159">
        <v>25</v>
      </c>
      <c r="F9" s="544">
        <f>D9*E9</f>
        <v>363750</v>
      </c>
      <c r="G9" s="159" t="s">
        <v>426</v>
      </c>
      <c r="H9" s="15" t="s">
        <v>430</v>
      </c>
      <c r="I9" s="545">
        <f>IF(G9="Tunai",15%*F9,0)</f>
        <v>54562.5</v>
      </c>
      <c r="J9" s="543">
        <f t="shared" si="0"/>
        <v>0</v>
      </c>
      <c r="K9" s="545">
        <f t="shared" si="1"/>
        <v>18187.5</v>
      </c>
      <c r="L9" s="546">
        <f t="shared" si="2"/>
        <v>327375</v>
      </c>
    </row>
    <row r="10" spans="1:12">
      <c r="A10" s="277">
        <v>4</v>
      </c>
      <c r="B10" s="15" t="s">
        <v>431</v>
      </c>
      <c r="C10" s="159" t="str">
        <f t="shared" ref="C10:C21" si="3">VLOOKUP(B10,$B$25:$D$28,2,0)</f>
        <v>Balsem</v>
      </c>
      <c r="D10" s="26">
        <f t="shared" ref="D10:D21" si="4">VLOOKUP(B10,$B$25:$D$28,3,0)</f>
        <v>10000</v>
      </c>
      <c r="E10" s="159">
        <v>56</v>
      </c>
      <c r="F10" s="544">
        <f t="shared" ref="F10:F21" si="5">D10*E10</f>
        <v>560000</v>
      </c>
      <c r="G10" s="159" t="s">
        <v>428</v>
      </c>
      <c r="H10" s="15" t="s">
        <v>430</v>
      </c>
      <c r="I10" s="545">
        <f t="shared" ref="I10:I21" si="6">IF(G10="Tunai",15%*F10,0)</f>
        <v>0</v>
      </c>
      <c r="J10" s="543">
        <f t="shared" si="0"/>
        <v>56000</v>
      </c>
      <c r="K10" s="545">
        <f t="shared" si="1"/>
        <v>28000</v>
      </c>
      <c r="L10" s="546">
        <f t="shared" si="2"/>
        <v>532000</v>
      </c>
    </row>
    <row r="11" spans="1:12">
      <c r="A11" s="277">
        <v>5</v>
      </c>
      <c r="B11" s="15" t="s">
        <v>431</v>
      </c>
      <c r="C11" s="159" t="str">
        <f t="shared" si="3"/>
        <v>Balsem</v>
      </c>
      <c r="D11" s="26">
        <f t="shared" si="4"/>
        <v>10000</v>
      </c>
      <c r="E11" s="159">
        <v>68</v>
      </c>
      <c r="F11" s="544">
        <f t="shared" si="5"/>
        <v>680000</v>
      </c>
      <c r="G11" s="159" t="s">
        <v>428</v>
      </c>
      <c r="H11" s="15" t="s">
        <v>429</v>
      </c>
      <c r="I11" s="545">
        <f t="shared" si="6"/>
        <v>0</v>
      </c>
      <c r="J11" s="543">
        <f t="shared" si="0"/>
        <v>68000</v>
      </c>
      <c r="K11" s="545">
        <f t="shared" si="1"/>
        <v>34000</v>
      </c>
      <c r="L11" s="546">
        <f t="shared" si="2"/>
        <v>646000</v>
      </c>
    </row>
    <row r="12" spans="1:12">
      <c r="A12" s="277">
        <v>6</v>
      </c>
      <c r="B12" s="15" t="s">
        <v>425</v>
      </c>
      <c r="C12" s="159" t="str">
        <f t="shared" si="3"/>
        <v>Aspirin</v>
      </c>
      <c r="D12" s="26">
        <f t="shared" si="4"/>
        <v>12500</v>
      </c>
      <c r="E12" s="159">
        <v>88</v>
      </c>
      <c r="F12" s="544">
        <f t="shared" si="5"/>
        <v>1100000</v>
      </c>
      <c r="G12" s="159" t="s">
        <v>428</v>
      </c>
      <c r="H12" s="15" t="s">
        <v>432</v>
      </c>
      <c r="I12" s="545">
        <f t="shared" si="6"/>
        <v>0</v>
      </c>
      <c r="J12" s="543">
        <f t="shared" si="0"/>
        <v>110000</v>
      </c>
      <c r="K12" s="545">
        <f t="shared" si="1"/>
        <v>55000</v>
      </c>
      <c r="L12" s="546">
        <f t="shared" si="2"/>
        <v>1045000</v>
      </c>
    </row>
    <row r="13" spans="1:12">
      <c r="A13" s="277">
        <v>7</v>
      </c>
      <c r="B13" s="15" t="s">
        <v>431</v>
      </c>
      <c r="C13" s="159" t="str">
        <f t="shared" si="3"/>
        <v>Balsem</v>
      </c>
      <c r="D13" s="26">
        <f t="shared" si="4"/>
        <v>10000</v>
      </c>
      <c r="E13" s="159">
        <v>75</v>
      </c>
      <c r="F13" s="544">
        <f t="shared" si="5"/>
        <v>750000</v>
      </c>
      <c r="G13" s="159" t="s">
        <v>426</v>
      </c>
      <c r="H13" s="15" t="s">
        <v>432</v>
      </c>
      <c r="I13" s="545">
        <f t="shared" si="6"/>
        <v>112500</v>
      </c>
      <c r="J13" s="543">
        <f t="shared" si="0"/>
        <v>75000</v>
      </c>
      <c r="K13" s="545">
        <f t="shared" si="1"/>
        <v>37500</v>
      </c>
      <c r="L13" s="546">
        <f t="shared" si="2"/>
        <v>600000</v>
      </c>
    </row>
    <row r="14" spans="1:12">
      <c r="A14" s="277">
        <v>8</v>
      </c>
      <c r="B14" s="15" t="s">
        <v>425</v>
      </c>
      <c r="C14" s="159" t="str">
        <f t="shared" si="3"/>
        <v>Aspirin</v>
      </c>
      <c r="D14" s="26">
        <f t="shared" si="4"/>
        <v>12500</v>
      </c>
      <c r="E14" s="159">
        <v>35</v>
      </c>
      <c r="F14" s="544">
        <f t="shared" si="5"/>
        <v>437500</v>
      </c>
      <c r="G14" s="159" t="s">
        <v>426</v>
      </c>
      <c r="H14" s="15" t="s">
        <v>430</v>
      </c>
      <c r="I14" s="545">
        <f t="shared" si="6"/>
        <v>65625</v>
      </c>
      <c r="J14" s="543">
        <f t="shared" si="0"/>
        <v>0</v>
      </c>
      <c r="K14" s="545">
        <f t="shared" si="1"/>
        <v>21875</v>
      </c>
      <c r="L14" s="546">
        <f t="shared" si="2"/>
        <v>393750</v>
      </c>
    </row>
    <row r="15" spans="1:12">
      <c r="A15" s="277">
        <v>9</v>
      </c>
      <c r="B15" s="15" t="s">
        <v>425</v>
      </c>
      <c r="C15" s="159" t="str">
        <f t="shared" si="3"/>
        <v>Aspirin</v>
      </c>
      <c r="D15" s="26">
        <f t="shared" si="4"/>
        <v>12500</v>
      </c>
      <c r="E15" s="159">
        <v>12</v>
      </c>
      <c r="F15" s="544">
        <f t="shared" si="5"/>
        <v>150000</v>
      </c>
      <c r="G15" s="159" t="s">
        <v>426</v>
      </c>
      <c r="H15" s="15" t="s">
        <v>209</v>
      </c>
      <c r="I15" s="545">
        <f t="shared" si="6"/>
        <v>22500</v>
      </c>
      <c r="J15" s="543">
        <f t="shared" si="0"/>
        <v>0</v>
      </c>
      <c r="K15" s="545">
        <f t="shared" si="1"/>
        <v>7500</v>
      </c>
      <c r="L15" s="546">
        <f t="shared" si="2"/>
        <v>135000</v>
      </c>
    </row>
    <row r="16" spans="1:12">
      <c r="A16" s="277">
        <v>10</v>
      </c>
      <c r="B16" s="15" t="s">
        <v>427</v>
      </c>
      <c r="C16" s="159" t="str">
        <f t="shared" si="3"/>
        <v>Decolsin</v>
      </c>
      <c r="D16" s="26">
        <f t="shared" si="4"/>
        <v>14550</v>
      </c>
      <c r="E16" s="159">
        <v>66</v>
      </c>
      <c r="F16" s="544">
        <f t="shared" si="5"/>
        <v>960300</v>
      </c>
      <c r="G16" s="159" t="s">
        <v>426</v>
      </c>
      <c r="H16" s="15" t="s">
        <v>429</v>
      </c>
      <c r="I16" s="545">
        <f t="shared" si="6"/>
        <v>144045</v>
      </c>
      <c r="J16" s="543">
        <f t="shared" si="0"/>
        <v>96030</v>
      </c>
      <c r="K16" s="545">
        <f t="shared" si="1"/>
        <v>48015</v>
      </c>
      <c r="L16" s="546">
        <f t="shared" si="2"/>
        <v>768240</v>
      </c>
    </row>
    <row r="17" spans="1:12">
      <c r="A17" s="277">
        <v>11</v>
      </c>
      <c r="B17" s="15" t="s">
        <v>431</v>
      </c>
      <c r="C17" s="159" t="str">
        <f t="shared" si="3"/>
        <v>Balsem</v>
      </c>
      <c r="D17" s="26">
        <f t="shared" si="4"/>
        <v>10000</v>
      </c>
      <c r="E17" s="159">
        <v>69</v>
      </c>
      <c r="F17" s="544">
        <f t="shared" si="5"/>
        <v>690000</v>
      </c>
      <c r="G17" s="159" t="s">
        <v>428</v>
      </c>
      <c r="H17" s="15" t="s">
        <v>430</v>
      </c>
      <c r="I17" s="545">
        <f t="shared" si="6"/>
        <v>0</v>
      </c>
      <c r="J17" s="543">
        <f t="shared" si="0"/>
        <v>69000</v>
      </c>
      <c r="K17" s="545">
        <f t="shared" si="1"/>
        <v>34500</v>
      </c>
      <c r="L17" s="546">
        <f t="shared" si="2"/>
        <v>655500</v>
      </c>
    </row>
    <row r="18" spans="1:12">
      <c r="A18" s="277">
        <v>12</v>
      </c>
      <c r="B18" s="15" t="s">
        <v>431</v>
      </c>
      <c r="C18" s="159" t="str">
        <f t="shared" si="3"/>
        <v>Balsem</v>
      </c>
      <c r="D18" s="26">
        <f t="shared" si="4"/>
        <v>10000</v>
      </c>
      <c r="E18" s="159">
        <v>125</v>
      </c>
      <c r="F18" s="544">
        <f t="shared" si="5"/>
        <v>1250000</v>
      </c>
      <c r="G18" s="159" t="s">
        <v>426</v>
      </c>
      <c r="H18" s="15" t="s">
        <v>429</v>
      </c>
      <c r="I18" s="545">
        <f t="shared" si="6"/>
        <v>187500</v>
      </c>
      <c r="J18" s="543">
        <f t="shared" si="0"/>
        <v>125000</v>
      </c>
      <c r="K18" s="545">
        <f t="shared" si="1"/>
        <v>62500</v>
      </c>
      <c r="L18" s="546">
        <f t="shared" si="2"/>
        <v>1000000</v>
      </c>
    </row>
    <row r="19" spans="1:12">
      <c r="A19" s="277">
        <v>13</v>
      </c>
      <c r="B19" s="15" t="s">
        <v>425</v>
      </c>
      <c r="C19" s="159" t="str">
        <f t="shared" si="3"/>
        <v>Aspirin</v>
      </c>
      <c r="D19" s="26">
        <f t="shared" si="4"/>
        <v>12500</v>
      </c>
      <c r="E19" s="159">
        <v>150</v>
      </c>
      <c r="F19" s="544">
        <f t="shared" si="5"/>
        <v>1875000</v>
      </c>
      <c r="G19" s="159" t="s">
        <v>428</v>
      </c>
      <c r="H19" s="15" t="s">
        <v>209</v>
      </c>
      <c r="I19" s="545">
        <f t="shared" si="6"/>
        <v>0</v>
      </c>
      <c r="J19" s="543">
        <f t="shared" si="0"/>
        <v>187500</v>
      </c>
      <c r="K19" s="545">
        <f t="shared" si="1"/>
        <v>93750</v>
      </c>
      <c r="L19" s="546">
        <f t="shared" si="2"/>
        <v>1781250</v>
      </c>
    </row>
    <row r="20" spans="1:12">
      <c r="A20" s="277">
        <v>14</v>
      </c>
      <c r="B20" s="15" t="s">
        <v>425</v>
      </c>
      <c r="C20" s="159" t="str">
        <f t="shared" si="3"/>
        <v>Aspirin</v>
      </c>
      <c r="D20" s="26">
        <f t="shared" si="4"/>
        <v>12500</v>
      </c>
      <c r="E20" s="159">
        <v>64</v>
      </c>
      <c r="F20" s="544">
        <f t="shared" si="5"/>
        <v>800000</v>
      </c>
      <c r="G20" s="159" t="s">
        <v>428</v>
      </c>
      <c r="H20" s="15" t="s">
        <v>429</v>
      </c>
      <c r="I20" s="545">
        <f t="shared" si="6"/>
        <v>0</v>
      </c>
      <c r="J20" s="543">
        <f t="shared" si="0"/>
        <v>80000</v>
      </c>
      <c r="K20" s="545">
        <f t="shared" si="1"/>
        <v>40000</v>
      </c>
      <c r="L20" s="546">
        <f t="shared" si="2"/>
        <v>760000</v>
      </c>
    </row>
    <row r="21" spans="1:12" ht="13.8" thickBot="1">
      <c r="A21" s="278">
        <v>15</v>
      </c>
      <c r="B21" s="18" t="s">
        <v>431</v>
      </c>
      <c r="C21" s="159" t="str">
        <f t="shared" si="3"/>
        <v>Balsem</v>
      </c>
      <c r="D21" s="26">
        <f t="shared" si="4"/>
        <v>10000</v>
      </c>
      <c r="E21" s="279">
        <v>200</v>
      </c>
      <c r="F21" s="544">
        <f t="shared" si="5"/>
        <v>2000000</v>
      </c>
      <c r="G21" s="279" t="s">
        <v>426</v>
      </c>
      <c r="H21" s="18" t="s">
        <v>432</v>
      </c>
      <c r="I21" s="545">
        <f t="shared" si="6"/>
        <v>300000</v>
      </c>
      <c r="J21" s="543">
        <f t="shared" si="0"/>
        <v>200000</v>
      </c>
      <c r="K21" s="545">
        <f t="shared" si="1"/>
        <v>100000</v>
      </c>
      <c r="L21" s="546">
        <f t="shared" si="2"/>
        <v>1600000</v>
      </c>
    </row>
    <row r="22" spans="1:12" ht="14.4" thickTop="1" thickBot="1">
      <c r="A22" s="655" t="s">
        <v>30</v>
      </c>
      <c r="B22" s="656"/>
      <c r="C22" s="656"/>
      <c r="D22" s="656"/>
      <c r="E22" s="656"/>
      <c r="F22" s="656"/>
      <c r="G22" s="656"/>
      <c r="H22" s="656"/>
      <c r="I22" s="656"/>
      <c r="J22" s="656"/>
      <c r="K22" s="656"/>
      <c r="L22" s="547">
        <f>SUM(L7:L21)</f>
        <v>12214590</v>
      </c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3.8" thickBot="1">
      <c r="B24" t="s">
        <v>433</v>
      </c>
    </row>
    <row r="25" spans="1:12" ht="27" thickBot="1">
      <c r="B25" s="280" t="s">
        <v>415</v>
      </c>
      <c r="C25" s="280" t="s">
        <v>416</v>
      </c>
      <c r="D25" s="280" t="s">
        <v>417</v>
      </c>
      <c r="E25" s="54"/>
    </row>
    <row r="26" spans="1:12" ht="13.8" thickBot="1">
      <c r="B26" s="281" t="s">
        <v>425</v>
      </c>
      <c r="C26" s="281" t="s">
        <v>434</v>
      </c>
      <c r="D26" s="282">
        <v>12500</v>
      </c>
    </row>
    <row r="27" spans="1:12" ht="13.8" thickBot="1">
      <c r="B27" s="281" t="s">
        <v>427</v>
      </c>
      <c r="C27" s="281" t="s">
        <v>436</v>
      </c>
      <c r="D27" s="282">
        <v>14550</v>
      </c>
    </row>
    <row r="28" spans="1:12" ht="13.8" thickBot="1">
      <c r="B28" s="281" t="s">
        <v>431</v>
      </c>
      <c r="C28" s="281" t="s">
        <v>435</v>
      </c>
      <c r="D28" s="282">
        <v>10000</v>
      </c>
    </row>
    <row r="30" spans="1:12">
      <c r="A30" t="s">
        <v>24</v>
      </c>
    </row>
    <row r="31" spans="1:12">
      <c r="A31" t="s">
        <v>438</v>
      </c>
    </row>
    <row r="32" spans="1:12">
      <c r="A32" t="s">
        <v>439</v>
      </c>
    </row>
    <row r="33" spans="1:1">
      <c r="A33" t="s">
        <v>440</v>
      </c>
    </row>
    <row r="34" spans="1:1">
      <c r="A34" t="s">
        <v>505</v>
      </c>
    </row>
    <row r="35" spans="1:1">
      <c r="A35" t="s">
        <v>506</v>
      </c>
    </row>
    <row r="36" spans="1:1">
      <c r="A36" t="s">
        <v>441</v>
      </c>
    </row>
    <row r="37" spans="1:1">
      <c r="A37" t="s">
        <v>442</v>
      </c>
    </row>
    <row r="38" spans="1:1">
      <c r="A38" t="s">
        <v>443</v>
      </c>
    </row>
    <row r="39" spans="1:1">
      <c r="A39" t="s">
        <v>444</v>
      </c>
    </row>
    <row r="40" spans="1:1">
      <c r="A40" t="s">
        <v>445</v>
      </c>
    </row>
  </sheetData>
  <mergeCells count="3">
    <mergeCell ref="A3:L3"/>
    <mergeCell ref="A4:L4"/>
    <mergeCell ref="A22:K22"/>
  </mergeCells>
  <phoneticPr fontId="5" type="noConversion"/>
  <pageMargins left="0.25" right="0.26" top="1" bottom="1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3"/>
  <sheetViews>
    <sheetView topLeftCell="A2" workbookViewId="0">
      <selection activeCell="G19" sqref="G19"/>
    </sheetView>
  </sheetViews>
  <sheetFormatPr defaultRowHeight="13.2"/>
  <cols>
    <col min="1" max="1" width="8.44140625" customWidth="1"/>
    <col min="2" max="2" width="17.33203125" customWidth="1"/>
    <col min="3" max="3" width="13.88671875" customWidth="1"/>
    <col min="4" max="4" width="14.109375" customWidth="1"/>
    <col min="5" max="5" width="14.44140625" customWidth="1"/>
    <col min="6" max="6" width="7.6640625" customWidth="1"/>
    <col min="7" max="7" width="18.6640625" customWidth="1"/>
    <col min="8" max="8" width="21.33203125" customWidth="1"/>
    <col min="9" max="10" width="19" customWidth="1"/>
  </cols>
  <sheetData>
    <row r="1" spans="1:10" ht="16.2">
      <c r="A1" s="11" t="s">
        <v>446</v>
      </c>
    </row>
    <row r="2" spans="1:10" ht="17.399999999999999">
      <c r="A2" s="657" t="s">
        <v>447</v>
      </c>
      <c r="B2" s="657"/>
      <c r="C2" s="657"/>
      <c r="D2" s="657"/>
      <c r="E2" s="657"/>
      <c r="F2" s="657"/>
      <c r="G2" s="657"/>
      <c r="H2" s="657"/>
      <c r="I2" s="657"/>
      <c r="J2" s="657"/>
    </row>
    <row r="3" spans="1:10" ht="15">
      <c r="A3" s="658" t="s">
        <v>448</v>
      </c>
      <c r="B3" s="658"/>
      <c r="C3" s="658"/>
      <c r="D3" s="658"/>
      <c r="E3" s="658"/>
      <c r="F3" s="658"/>
      <c r="G3" s="658"/>
      <c r="H3" s="658"/>
      <c r="I3" s="658"/>
      <c r="J3" s="658"/>
    </row>
    <row r="4" spans="1:10" ht="13.8">
      <c r="A4" s="659" t="s">
        <v>449</v>
      </c>
      <c r="B4" s="659"/>
      <c r="C4" s="659"/>
      <c r="D4" s="659"/>
      <c r="E4" s="659"/>
      <c r="F4" s="659"/>
      <c r="G4" s="659"/>
      <c r="H4" s="659"/>
      <c r="I4" s="659"/>
      <c r="J4" s="659"/>
    </row>
    <row r="5" spans="1:10" ht="14.4" thickBot="1">
      <c r="A5" s="20" t="s">
        <v>450</v>
      </c>
      <c r="B5" s="283">
        <v>38231</v>
      </c>
      <c r="C5" s="55"/>
      <c r="D5" s="20"/>
      <c r="E5" s="20"/>
      <c r="F5" s="20"/>
      <c r="G5" s="20"/>
      <c r="H5" s="20"/>
      <c r="I5" s="20"/>
      <c r="J5" s="20"/>
    </row>
    <row r="6" spans="1:10" ht="28.2" thickBot="1">
      <c r="A6" s="284" t="s">
        <v>451</v>
      </c>
      <c r="B6" s="285" t="s">
        <v>23</v>
      </c>
      <c r="C6" s="285" t="s">
        <v>452</v>
      </c>
      <c r="D6" s="285" t="s">
        <v>453</v>
      </c>
      <c r="E6" s="285" t="s">
        <v>454</v>
      </c>
      <c r="F6" s="285" t="s">
        <v>455</v>
      </c>
      <c r="G6" s="285" t="s">
        <v>456</v>
      </c>
      <c r="H6" s="285" t="s">
        <v>457</v>
      </c>
      <c r="I6" s="285" t="s">
        <v>458</v>
      </c>
      <c r="J6" s="286" t="s">
        <v>459</v>
      </c>
    </row>
    <row r="7" spans="1:10" ht="13.8">
      <c r="A7" s="287" t="s">
        <v>495</v>
      </c>
      <c r="B7" s="63" t="str">
        <f>VLOOKUP(LEFT(A7,2),$A$21:$B$26,2,FALSE)</f>
        <v>Setrika</v>
      </c>
      <c r="C7" s="290" t="str">
        <f>HLOOKUP(RIGHT(A7,2),$D$21:$I$22,2,FALSE)</f>
        <v>National</v>
      </c>
      <c r="D7" s="360">
        <v>110000</v>
      </c>
      <c r="E7" s="548">
        <f>D7+(0.25*D7)</f>
        <v>137500</v>
      </c>
      <c r="F7" s="56">
        <v>20</v>
      </c>
      <c r="G7" s="549">
        <f>F7*D7</f>
        <v>2200000</v>
      </c>
      <c r="H7" s="550">
        <f>F7*E7</f>
        <v>2750000</v>
      </c>
      <c r="I7" s="551">
        <f>H7-G7</f>
        <v>550000</v>
      </c>
      <c r="J7" s="552">
        <f>IF(I7&gt;2000000,15%*I7,IF(I7&gt;=1000000,10%*I7,IF(I7&lt;500000,0,5%*I7)))</f>
        <v>27500</v>
      </c>
    </row>
    <row r="8" spans="1:10" ht="13.8">
      <c r="A8" s="288" t="s">
        <v>496</v>
      </c>
      <c r="B8" s="63" t="str">
        <f t="shared" ref="B8:B17" si="0">VLOOKUP(LEFT(A8,2),$A$21:$B$26,2,FALSE)</f>
        <v>Kipas Angin</v>
      </c>
      <c r="C8" s="290" t="str">
        <f t="shared" ref="C8:C17" si="1">HLOOKUP(RIGHT(A8,2),$D$21:$I$22,2,FALSE)</f>
        <v>National</v>
      </c>
      <c r="D8" s="360">
        <v>150000</v>
      </c>
      <c r="E8" s="548">
        <f t="shared" ref="E8:E17" si="2">D8+(0.25*D8)</f>
        <v>187500</v>
      </c>
      <c r="F8" s="57">
        <v>12</v>
      </c>
      <c r="G8" s="549">
        <f t="shared" ref="G8:G17" si="3">F8*D8</f>
        <v>1800000</v>
      </c>
      <c r="H8" s="550">
        <f t="shared" ref="H8:H17" si="4">F8*E8</f>
        <v>2250000</v>
      </c>
      <c r="I8" s="551">
        <f t="shared" ref="I8:I17" si="5">H8-G8</f>
        <v>450000</v>
      </c>
      <c r="J8" s="552">
        <f t="shared" ref="J8:J17" si="6">IF(I8&gt;2000000,15%*I8,IF(I8&gt;=1000000,10%*I8,IF(I8&lt;500000,0,5%*I8)))</f>
        <v>0</v>
      </c>
    </row>
    <row r="9" spans="1:10" ht="13.8">
      <c r="A9" s="288" t="s">
        <v>497</v>
      </c>
      <c r="B9" s="63" t="str">
        <f t="shared" si="0"/>
        <v>Blender</v>
      </c>
      <c r="C9" s="290" t="str">
        <f t="shared" si="1"/>
        <v>Philips</v>
      </c>
      <c r="D9" s="360">
        <v>170000</v>
      </c>
      <c r="E9" s="548">
        <f t="shared" si="2"/>
        <v>212500</v>
      </c>
      <c r="F9" s="57">
        <v>15</v>
      </c>
      <c r="G9" s="549">
        <f t="shared" si="3"/>
        <v>2550000</v>
      </c>
      <c r="H9" s="550">
        <f t="shared" si="4"/>
        <v>3187500</v>
      </c>
      <c r="I9" s="551">
        <f t="shared" si="5"/>
        <v>637500</v>
      </c>
      <c r="J9" s="552">
        <f t="shared" si="6"/>
        <v>31875</v>
      </c>
    </row>
    <row r="10" spans="1:10" ht="13.8">
      <c r="A10" s="288" t="s">
        <v>498</v>
      </c>
      <c r="B10" s="63" t="str">
        <f t="shared" si="0"/>
        <v>Kulkas</v>
      </c>
      <c r="C10" s="290" t="str">
        <f t="shared" si="1"/>
        <v>Toshiba</v>
      </c>
      <c r="D10" s="360">
        <v>1400000</v>
      </c>
      <c r="E10" s="548">
        <f t="shared" si="2"/>
        <v>1750000</v>
      </c>
      <c r="F10" s="57">
        <v>5</v>
      </c>
      <c r="G10" s="549">
        <f t="shared" si="3"/>
        <v>7000000</v>
      </c>
      <c r="H10" s="550">
        <f t="shared" si="4"/>
        <v>8750000</v>
      </c>
      <c r="I10" s="551">
        <f t="shared" si="5"/>
        <v>1750000</v>
      </c>
      <c r="J10" s="552">
        <f t="shared" si="6"/>
        <v>175000</v>
      </c>
    </row>
    <row r="11" spans="1:10" ht="13.8">
      <c r="A11" s="288" t="s">
        <v>499</v>
      </c>
      <c r="B11" s="63" t="str">
        <f t="shared" si="0"/>
        <v>Mesin Cuci</v>
      </c>
      <c r="C11" s="290" t="str">
        <f t="shared" si="1"/>
        <v>Samsung</v>
      </c>
      <c r="D11" s="360">
        <v>1200000</v>
      </c>
      <c r="E11" s="548">
        <f t="shared" si="2"/>
        <v>1500000</v>
      </c>
      <c r="F11" s="57">
        <v>3</v>
      </c>
      <c r="G11" s="549">
        <f t="shared" si="3"/>
        <v>3600000</v>
      </c>
      <c r="H11" s="550">
        <f t="shared" si="4"/>
        <v>4500000</v>
      </c>
      <c r="I11" s="551">
        <f t="shared" si="5"/>
        <v>900000</v>
      </c>
      <c r="J11" s="552">
        <f t="shared" si="6"/>
        <v>45000</v>
      </c>
    </row>
    <row r="12" spans="1:10" ht="13.8">
      <c r="A12" s="288" t="s">
        <v>500</v>
      </c>
      <c r="B12" s="63" t="str">
        <f t="shared" si="0"/>
        <v>Setrika</v>
      </c>
      <c r="C12" s="290" t="str">
        <f t="shared" si="1"/>
        <v>Philips</v>
      </c>
      <c r="D12" s="360">
        <v>130000</v>
      </c>
      <c r="E12" s="548">
        <f t="shared" si="2"/>
        <v>162500</v>
      </c>
      <c r="F12" s="57">
        <v>10</v>
      </c>
      <c r="G12" s="549">
        <f t="shared" si="3"/>
        <v>1300000</v>
      </c>
      <c r="H12" s="550">
        <f t="shared" si="4"/>
        <v>1625000</v>
      </c>
      <c r="I12" s="551">
        <f t="shared" si="5"/>
        <v>325000</v>
      </c>
      <c r="J12" s="552">
        <f t="shared" si="6"/>
        <v>0</v>
      </c>
    </row>
    <row r="13" spans="1:10" ht="13.8">
      <c r="A13" s="288" t="s">
        <v>496</v>
      </c>
      <c r="B13" s="63" t="str">
        <f t="shared" si="0"/>
        <v>Kipas Angin</v>
      </c>
      <c r="C13" s="290" t="str">
        <f t="shared" si="1"/>
        <v>National</v>
      </c>
      <c r="D13" s="360">
        <v>120000</v>
      </c>
      <c r="E13" s="548">
        <f t="shared" si="2"/>
        <v>150000</v>
      </c>
      <c r="F13" s="57">
        <v>12</v>
      </c>
      <c r="G13" s="549">
        <f t="shared" si="3"/>
        <v>1440000</v>
      </c>
      <c r="H13" s="550">
        <f t="shared" si="4"/>
        <v>1800000</v>
      </c>
      <c r="I13" s="551">
        <f t="shared" si="5"/>
        <v>360000</v>
      </c>
      <c r="J13" s="552">
        <f t="shared" si="6"/>
        <v>0</v>
      </c>
    </row>
    <row r="14" spans="1:10" ht="13.8">
      <c r="A14" s="288" t="s">
        <v>501</v>
      </c>
      <c r="B14" s="63" t="str">
        <f t="shared" si="0"/>
        <v>Blender</v>
      </c>
      <c r="C14" s="290" t="str">
        <f t="shared" si="1"/>
        <v>National</v>
      </c>
      <c r="D14" s="360">
        <v>110000</v>
      </c>
      <c r="E14" s="548">
        <f t="shared" si="2"/>
        <v>137500</v>
      </c>
      <c r="F14" s="57">
        <v>25</v>
      </c>
      <c r="G14" s="549">
        <f t="shared" si="3"/>
        <v>2750000</v>
      </c>
      <c r="H14" s="550">
        <f t="shared" si="4"/>
        <v>3437500</v>
      </c>
      <c r="I14" s="551">
        <f t="shared" si="5"/>
        <v>687500</v>
      </c>
      <c r="J14" s="552">
        <f t="shared" si="6"/>
        <v>34375</v>
      </c>
    </row>
    <row r="15" spans="1:10" ht="13.8">
      <c r="A15" s="288" t="s">
        <v>502</v>
      </c>
      <c r="B15" s="63" t="str">
        <f t="shared" si="0"/>
        <v>Kulkas</v>
      </c>
      <c r="C15" s="290" t="str">
        <f t="shared" si="1"/>
        <v>LG</v>
      </c>
      <c r="D15" s="360">
        <v>1000000</v>
      </c>
      <c r="E15" s="548">
        <f t="shared" si="2"/>
        <v>1250000</v>
      </c>
      <c r="F15" s="57">
        <v>10</v>
      </c>
      <c r="G15" s="549">
        <f t="shared" si="3"/>
        <v>10000000</v>
      </c>
      <c r="H15" s="550">
        <f t="shared" si="4"/>
        <v>12500000</v>
      </c>
      <c r="I15" s="551">
        <f t="shared" si="5"/>
        <v>2500000</v>
      </c>
      <c r="J15" s="552">
        <f t="shared" si="6"/>
        <v>375000</v>
      </c>
    </row>
    <row r="16" spans="1:10" ht="13.8">
      <c r="A16" s="288" t="s">
        <v>503</v>
      </c>
      <c r="B16" s="63" t="str">
        <f t="shared" si="0"/>
        <v>Mesin Cuci</v>
      </c>
      <c r="C16" s="290" t="str">
        <f t="shared" si="1"/>
        <v>LG</v>
      </c>
      <c r="D16" s="360">
        <v>900000</v>
      </c>
      <c r="E16" s="548">
        <f t="shared" si="2"/>
        <v>1125000</v>
      </c>
      <c r="F16" s="57">
        <v>8</v>
      </c>
      <c r="G16" s="549">
        <f t="shared" si="3"/>
        <v>7200000</v>
      </c>
      <c r="H16" s="550">
        <f t="shared" si="4"/>
        <v>9000000</v>
      </c>
      <c r="I16" s="551">
        <f t="shared" si="5"/>
        <v>1800000</v>
      </c>
      <c r="J16" s="552">
        <f t="shared" si="6"/>
        <v>180000</v>
      </c>
    </row>
    <row r="17" spans="1:10" ht="14.4" thickBot="1">
      <c r="A17" s="289" t="s">
        <v>504</v>
      </c>
      <c r="B17" s="63" t="str">
        <f t="shared" si="0"/>
        <v>Kulkas</v>
      </c>
      <c r="C17" s="290" t="str">
        <f t="shared" si="1"/>
        <v>Samsung</v>
      </c>
      <c r="D17" s="360">
        <v>1300000</v>
      </c>
      <c r="E17" s="548">
        <f t="shared" si="2"/>
        <v>1625000</v>
      </c>
      <c r="F17" s="58">
        <v>10</v>
      </c>
      <c r="G17" s="549">
        <f t="shared" si="3"/>
        <v>13000000</v>
      </c>
      <c r="H17" s="550">
        <f t="shared" si="4"/>
        <v>16250000</v>
      </c>
      <c r="I17" s="551">
        <f t="shared" si="5"/>
        <v>3250000</v>
      </c>
      <c r="J17" s="552">
        <f t="shared" si="6"/>
        <v>487500</v>
      </c>
    </row>
    <row r="18" spans="1:10" ht="15" thickTop="1" thickBot="1">
      <c r="A18" s="660" t="s">
        <v>460</v>
      </c>
      <c r="B18" s="661"/>
      <c r="C18" s="661"/>
      <c r="D18" s="661"/>
      <c r="E18" s="661"/>
      <c r="F18" s="662"/>
      <c r="G18" s="585">
        <f>SUM(G7:G17)</f>
        <v>52840000</v>
      </c>
      <c r="H18" s="585">
        <f t="shared" ref="H18:J18" si="7">SUM(H7:H17)</f>
        <v>66050000</v>
      </c>
      <c r="I18" s="585">
        <f t="shared" si="7"/>
        <v>13210000</v>
      </c>
      <c r="J18" s="585">
        <f t="shared" si="7"/>
        <v>1356250</v>
      </c>
    </row>
    <row r="20" spans="1:10" ht="14.4" thickBot="1">
      <c r="A20" s="20" t="s">
        <v>480</v>
      </c>
      <c r="D20" t="s">
        <v>481</v>
      </c>
    </row>
    <row r="21" spans="1:10" ht="27.6">
      <c r="A21" s="291" t="s">
        <v>451</v>
      </c>
      <c r="B21" s="292" t="s">
        <v>23</v>
      </c>
      <c r="D21" s="295" t="s">
        <v>461</v>
      </c>
      <c r="E21" s="296" t="s">
        <v>474</v>
      </c>
      <c r="F21" s="297" t="s">
        <v>475</v>
      </c>
      <c r="G21" s="297" t="s">
        <v>476</v>
      </c>
      <c r="H21" s="297" t="s">
        <v>477</v>
      </c>
      <c r="I21" s="298" t="s">
        <v>478</v>
      </c>
    </row>
    <row r="22" spans="1:10" ht="14.4" thickBot="1">
      <c r="A22" s="293" t="s">
        <v>463</v>
      </c>
      <c r="B22" s="16" t="s">
        <v>164</v>
      </c>
      <c r="D22" s="269" t="s">
        <v>462</v>
      </c>
      <c r="E22" s="30" t="s">
        <v>464</v>
      </c>
      <c r="F22" s="30" t="s">
        <v>466</v>
      </c>
      <c r="G22" s="30" t="s">
        <v>469</v>
      </c>
      <c r="H22" s="30" t="s">
        <v>471</v>
      </c>
      <c r="I22" s="60" t="s">
        <v>473</v>
      </c>
    </row>
    <row r="23" spans="1:10" ht="13.8">
      <c r="A23" s="293" t="s">
        <v>465</v>
      </c>
      <c r="B23" s="16" t="s">
        <v>165</v>
      </c>
      <c r="D23" s="6"/>
    </row>
    <row r="24" spans="1:10" ht="13.8">
      <c r="A24" s="293" t="s">
        <v>467</v>
      </c>
      <c r="B24" s="16" t="s">
        <v>468</v>
      </c>
      <c r="D24" s="6"/>
    </row>
    <row r="25" spans="1:10" ht="13.8">
      <c r="A25" s="293" t="s">
        <v>470</v>
      </c>
      <c r="B25" s="16" t="s">
        <v>162</v>
      </c>
      <c r="D25" s="6"/>
    </row>
    <row r="26" spans="1:10" ht="14.4" thickBot="1">
      <c r="A26" s="294" t="s">
        <v>472</v>
      </c>
      <c r="B26" s="59" t="s">
        <v>161</v>
      </c>
      <c r="D26" s="6"/>
    </row>
    <row r="28" spans="1:10" ht="13.8">
      <c r="A28" s="62" t="s">
        <v>483</v>
      </c>
    </row>
    <row r="29" spans="1:10" ht="13.8">
      <c r="A29" s="62" t="s">
        <v>484</v>
      </c>
    </row>
    <row r="30" spans="1:10" ht="13.8">
      <c r="A30" s="62" t="s">
        <v>485</v>
      </c>
    </row>
    <row r="31" spans="1:10" ht="13.8">
      <c r="A31" s="61"/>
    </row>
    <row r="32" spans="1:10" ht="13.8">
      <c r="A32" s="20" t="s">
        <v>24</v>
      </c>
    </row>
    <row r="33" spans="1:2" ht="13.8">
      <c r="A33" s="62" t="s">
        <v>479</v>
      </c>
    </row>
    <row r="34" spans="1:2">
      <c r="A34" t="s">
        <v>482</v>
      </c>
    </row>
    <row r="35" spans="1:2">
      <c r="A35" t="s">
        <v>486</v>
      </c>
    </row>
    <row r="36" spans="1:2">
      <c r="A36" t="s">
        <v>487</v>
      </c>
    </row>
    <row r="37" spans="1:2">
      <c r="A37" t="s">
        <v>488</v>
      </c>
    </row>
    <row r="38" spans="1:2">
      <c r="A38" t="s">
        <v>489</v>
      </c>
    </row>
    <row r="39" spans="1:2">
      <c r="A39" t="s">
        <v>490</v>
      </c>
    </row>
    <row r="40" spans="1:2">
      <c r="B40" t="s">
        <v>491</v>
      </c>
    </row>
    <row r="41" spans="1:2">
      <c r="B41" t="s">
        <v>492</v>
      </c>
    </row>
    <row r="42" spans="1:2">
      <c r="B42" t="s">
        <v>494</v>
      </c>
    </row>
    <row r="43" spans="1:2">
      <c r="B43" t="s">
        <v>493</v>
      </c>
    </row>
  </sheetData>
  <mergeCells count="4">
    <mergeCell ref="A2:J2"/>
    <mergeCell ref="A3:J3"/>
    <mergeCell ref="A4:J4"/>
    <mergeCell ref="A18:F18"/>
  </mergeCells>
  <phoneticPr fontId="5" type="noConversion"/>
  <pageMargins left="0.39" right="0.36" top="1" bottom="0.74" header="0.5" footer="0.5"/>
  <pageSetup orientation="portrait" horizontalDpi="4294967293" verticalDpi="4294967293" r:id="rId1"/>
  <headerFooter alignWithMargins="0">
    <oddFooter>&amp;LLPIA CIBINONG&amp;C021-87906787&amp;RLATIHAN EXCEL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6"/>
  <sheetViews>
    <sheetView zoomScale="106" zoomScaleNormal="106" workbookViewId="0">
      <selection activeCell="N23" sqref="N23"/>
    </sheetView>
  </sheetViews>
  <sheetFormatPr defaultRowHeight="13.2"/>
  <cols>
    <col min="1" max="1" width="6" customWidth="1"/>
    <col min="2" max="2" width="23.44140625" customWidth="1"/>
    <col min="3" max="3" width="10.6640625" bestFit="1" customWidth="1"/>
    <col min="4" max="4" width="13.33203125" customWidth="1"/>
    <col min="5" max="5" width="10.5546875" customWidth="1"/>
    <col min="6" max="6" width="10.5546875" bestFit="1" customWidth="1"/>
    <col min="7" max="7" width="12" bestFit="1" customWidth="1"/>
    <col min="8" max="8" width="11.6640625" bestFit="1" customWidth="1"/>
  </cols>
  <sheetData>
    <row r="1" spans="1:12" ht="16.2">
      <c r="A1" s="11" t="s">
        <v>553</v>
      </c>
    </row>
    <row r="2" spans="1:12">
      <c r="A2" t="s">
        <v>507</v>
      </c>
    </row>
    <row r="3" spans="1:12" ht="26.4">
      <c r="A3" s="299" t="s">
        <v>508</v>
      </c>
      <c r="B3" s="300" t="s">
        <v>264</v>
      </c>
      <c r="C3" s="300" t="s">
        <v>509</v>
      </c>
      <c r="D3" s="300" t="s">
        <v>510</v>
      </c>
      <c r="E3" s="301" t="s">
        <v>511</v>
      </c>
    </row>
    <row r="4" spans="1:12">
      <c r="A4" s="302" t="s">
        <v>512</v>
      </c>
      <c r="B4" s="303" t="s">
        <v>156</v>
      </c>
      <c r="C4" s="304">
        <v>500</v>
      </c>
      <c r="D4" s="304">
        <v>125</v>
      </c>
      <c r="E4" s="305">
        <v>50</v>
      </c>
    </row>
    <row r="5" spans="1:12">
      <c r="A5" s="306" t="s">
        <v>513</v>
      </c>
      <c r="B5" s="307" t="s">
        <v>514</v>
      </c>
      <c r="C5" s="308">
        <v>100</v>
      </c>
      <c r="D5" s="308">
        <v>25</v>
      </c>
      <c r="E5" s="309">
        <v>150</v>
      </c>
    </row>
    <row r="6" spans="1:12">
      <c r="A6" s="306" t="s">
        <v>515</v>
      </c>
      <c r="B6" s="307" t="s">
        <v>516</v>
      </c>
      <c r="C6" s="308">
        <v>400</v>
      </c>
      <c r="D6" s="308">
        <v>100</v>
      </c>
      <c r="E6" s="309">
        <v>75</v>
      </c>
    </row>
    <row r="7" spans="1:12">
      <c r="A7" s="306" t="s">
        <v>517</v>
      </c>
      <c r="B7" s="307" t="s">
        <v>518</v>
      </c>
      <c r="C7" s="308">
        <v>200</v>
      </c>
      <c r="D7" s="308">
        <v>50</v>
      </c>
      <c r="E7" s="309">
        <v>125</v>
      </c>
    </row>
    <row r="8" spans="1:12">
      <c r="A8" s="310" t="s">
        <v>519</v>
      </c>
      <c r="B8" s="311" t="s">
        <v>281</v>
      </c>
      <c r="C8" s="312">
        <v>300</v>
      </c>
      <c r="D8" s="312">
        <v>75</v>
      </c>
      <c r="E8" s="313">
        <v>100</v>
      </c>
    </row>
    <row r="10" spans="1:12" ht="13.8" thickBot="1">
      <c r="A10" t="s">
        <v>520</v>
      </c>
      <c r="C10" s="314">
        <v>38614</v>
      </c>
    </row>
    <row r="11" spans="1:12" ht="39.6">
      <c r="A11" s="315" t="s">
        <v>521</v>
      </c>
      <c r="B11" s="315" t="s">
        <v>102</v>
      </c>
      <c r="C11" s="315" t="s">
        <v>508</v>
      </c>
      <c r="D11" s="315" t="s">
        <v>264</v>
      </c>
      <c r="E11" s="315" t="s">
        <v>522</v>
      </c>
      <c r="F11" s="315" t="s">
        <v>523</v>
      </c>
      <c r="G11" s="315" t="s">
        <v>265</v>
      </c>
      <c r="H11" s="315" t="s">
        <v>524</v>
      </c>
      <c r="I11" s="315" t="s">
        <v>525</v>
      </c>
      <c r="J11" s="315" t="s">
        <v>526</v>
      </c>
      <c r="K11" s="315" t="s">
        <v>527</v>
      </c>
      <c r="L11" s="315" t="s">
        <v>528</v>
      </c>
    </row>
    <row r="12" spans="1:12">
      <c r="A12" s="316">
        <v>1</v>
      </c>
      <c r="B12" s="317" t="s">
        <v>529</v>
      </c>
      <c r="C12" s="555" t="s">
        <v>515</v>
      </c>
      <c r="D12" s="325" t="str">
        <f>VLOOKUP(C12,$A$3:$B$8,2,0)</f>
        <v>Ekonomi</v>
      </c>
      <c r="E12" s="316">
        <v>3</v>
      </c>
      <c r="F12" s="322">
        <v>38604</v>
      </c>
      <c r="G12" s="558">
        <f>F12-14</f>
        <v>38590</v>
      </c>
      <c r="H12" s="559">
        <f>$C$10-G12</f>
        <v>24</v>
      </c>
      <c r="I12" s="325">
        <f>VLOOKUP(D12,$B$4:$C$8,2,0)*E12</f>
        <v>1200</v>
      </c>
      <c r="J12" s="325" t="str">
        <f>IF(F12&gt;C10,"Denda","Tidak")</f>
        <v>Tidak</v>
      </c>
      <c r="K12" s="325">
        <f>IF(E12&gt;4,VLOOKUP(C12,$A$3:$E$8,5,FALSE),0)</f>
        <v>0</v>
      </c>
      <c r="L12" s="325">
        <f>I12-K12</f>
        <v>1200</v>
      </c>
    </row>
    <row r="13" spans="1:12">
      <c r="A13" s="318">
        <v>2</v>
      </c>
      <c r="B13" s="319" t="s">
        <v>530</v>
      </c>
      <c r="C13" s="556" t="s">
        <v>513</v>
      </c>
      <c r="D13" s="325" t="str">
        <f t="shared" ref="D13:D21" si="0">VLOOKUP(C13,$A$3:$B$8,2,0)</f>
        <v>Filsafat</v>
      </c>
      <c r="E13" s="318">
        <v>5</v>
      </c>
      <c r="F13" s="323">
        <v>38596</v>
      </c>
      <c r="G13" s="558">
        <f t="shared" ref="G13:G21" si="1">F13-14</f>
        <v>38582</v>
      </c>
      <c r="H13" s="559">
        <f t="shared" ref="H13:H21" si="2">$C$10-G13</f>
        <v>32</v>
      </c>
      <c r="I13" s="325">
        <f t="shared" ref="I13:I21" si="3">VLOOKUP(D13,$B$4:$C$8,2,0)*E13</f>
        <v>500</v>
      </c>
      <c r="J13" s="325" t="str">
        <f t="shared" ref="J13:J21" si="4">IF(F13&gt;C11,"Denda","Tidak")</f>
        <v>Tidak</v>
      </c>
      <c r="K13" s="325">
        <f t="shared" ref="K13:K21" si="5">IF(E13&gt;4,VLOOKUP(C13,$A$3:$E$8,5,FALSE),0)</f>
        <v>150</v>
      </c>
      <c r="L13" s="325">
        <f t="shared" ref="L13:L21" si="6">I13-K13</f>
        <v>350</v>
      </c>
    </row>
    <row r="14" spans="1:12">
      <c r="A14" s="318">
        <v>3</v>
      </c>
      <c r="B14" s="319" t="s">
        <v>531</v>
      </c>
      <c r="C14" s="556" t="s">
        <v>519</v>
      </c>
      <c r="D14" s="325" t="str">
        <f t="shared" si="0"/>
        <v>Teknik</v>
      </c>
      <c r="E14" s="318">
        <v>3</v>
      </c>
      <c r="F14" s="323">
        <v>38606</v>
      </c>
      <c r="G14" s="558">
        <f t="shared" si="1"/>
        <v>38592</v>
      </c>
      <c r="H14" s="559">
        <f t="shared" si="2"/>
        <v>22</v>
      </c>
      <c r="I14" s="325">
        <f t="shared" si="3"/>
        <v>900</v>
      </c>
      <c r="J14" s="325" t="str">
        <f t="shared" si="4"/>
        <v>Tidak</v>
      </c>
      <c r="K14" s="325">
        <f t="shared" si="5"/>
        <v>0</v>
      </c>
      <c r="L14" s="325">
        <f t="shared" si="6"/>
        <v>900</v>
      </c>
    </row>
    <row r="15" spans="1:12">
      <c r="A15" s="318">
        <v>4</v>
      </c>
      <c r="B15" s="319" t="s">
        <v>532</v>
      </c>
      <c r="C15" s="556" t="s">
        <v>517</v>
      </c>
      <c r="D15" s="325" t="str">
        <f t="shared" si="0"/>
        <v>Agama</v>
      </c>
      <c r="E15" s="318">
        <v>7</v>
      </c>
      <c r="F15" s="323">
        <v>38612</v>
      </c>
      <c r="G15" s="558">
        <f t="shared" si="1"/>
        <v>38598</v>
      </c>
      <c r="H15" s="559">
        <f t="shared" si="2"/>
        <v>16</v>
      </c>
      <c r="I15" s="325">
        <f t="shared" si="3"/>
        <v>1400</v>
      </c>
      <c r="J15" s="325" t="str">
        <f t="shared" si="4"/>
        <v>Tidak</v>
      </c>
      <c r="K15" s="325">
        <f t="shared" si="5"/>
        <v>125</v>
      </c>
      <c r="L15" s="325">
        <f t="shared" si="6"/>
        <v>1275</v>
      </c>
    </row>
    <row r="16" spans="1:12">
      <c r="A16" s="318">
        <v>5</v>
      </c>
      <c r="B16" s="319" t="s">
        <v>533</v>
      </c>
      <c r="C16" s="556" t="s">
        <v>512</v>
      </c>
      <c r="D16" s="325" t="str">
        <f t="shared" si="0"/>
        <v>Komputer</v>
      </c>
      <c r="E16" s="318">
        <v>8</v>
      </c>
      <c r="F16" s="323">
        <v>38600</v>
      </c>
      <c r="G16" s="558">
        <f t="shared" si="1"/>
        <v>38586</v>
      </c>
      <c r="H16" s="559">
        <f t="shared" si="2"/>
        <v>28</v>
      </c>
      <c r="I16" s="325">
        <f t="shared" si="3"/>
        <v>4000</v>
      </c>
      <c r="J16" s="325" t="str">
        <f t="shared" si="4"/>
        <v>Tidak</v>
      </c>
      <c r="K16" s="325">
        <f t="shared" si="5"/>
        <v>50</v>
      </c>
      <c r="L16" s="325">
        <f t="shared" si="6"/>
        <v>3950</v>
      </c>
    </row>
    <row r="17" spans="1:12">
      <c r="A17" s="318">
        <v>6</v>
      </c>
      <c r="B17" s="319" t="s">
        <v>534</v>
      </c>
      <c r="C17" s="556" t="s">
        <v>515</v>
      </c>
      <c r="D17" s="325" t="str">
        <f t="shared" si="0"/>
        <v>Ekonomi</v>
      </c>
      <c r="E17" s="318">
        <v>4</v>
      </c>
      <c r="F17" s="323">
        <v>38624</v>
      </c>
      <c r="G17" s="558">
        <f t="shared" si="1"/>
        <v>38610</v>
      </c>
      <c r="H17" s="559">
        <f t="shared" si="2"/>
        <v>4</v>
      </c>
      <c r="I17" s="325">
        <f t="shared" si="3"/>
        <v>1600</v>
      </c>
      <c r="J17" s="325" t="str">
        <f t="shared" si="4"/>
        <v>Tidak</v>
      </c>
      <c r="K17" s="325">
        <f t="shared" si="5"/>
        <v>0</v>
      </c>
      <c r="L17" s="325">
        <f t="shared" si="6"/>
        <v>1600</v>
      </c>
    </row>
    <row r="18" spans="1:12">
      <c r="A18" s="318">
        <v>7</v>
      </c>
      <c r="B18" s="319" t="s">
        <v>535</v>
      </c>
      <c r="C18" s="556" t="s">
        <v>513</v>
      </c>
      <c r="D18" s="325" t="str">
        <f t="shared" si="0"/>
        <v>Filsafat</v>
      </c>
      <c r="E18" s="318">
        <v>6</v>
      </c>
      <c r="F18" s="323">
        <v>38619</v>
      </c>
      <c r="G18" s="558">
        <f t="shared" si="1"/>
        <v>38605</v>
      </c>
      <c r="H18" s="559">
        <f t="shared" si="2"/>
        <v>9</v>
      </c>
      <c r="I18" s="325">
        <f t="shared" si="3"/>
        <v>600</v>
      </c>
      <c r="J18" s="325" t="str">
        <f t="shared" si="4"/>
        <v>Tidak</v>
      </c>
      <c r="K18" s="325">
        <f t="shared" si="5"/>
        <v>150</v>
      </c>
      <c r="L18" s="325">
        <f t="shared" si="6"/>
        <v>450</v>
      </c>
    </row>
    <row r="19" spans="1:12">
      <c r="A19" s="318">
        <v>8</v>
      </c>
      <c r="B19" s="319" t="s">
        <v>536</v>
      </c>
      <c r="C19" s="556" t="s">
        <v>519</v>
      </c>
      <c r="D19" s="325" t="str">
        <f t="shared" si="0"/>
        <v>Teknik</v>
      </c>
      <c r="E19" s="318">
        <v>5</v>
      </c>
      <c r="F19" s="323">
        <v>38615</v>
      </c>
      <c r="G19" s="558">
        <f t="shared" si="1"/>
        <v>38601</v>
      </c>
      <c r="H19" s="559">
        <f t="shared" si="2"/>
        <v>13</v>
      </c>
      <c r="I19" s="325">
        <f t="shared" si="3"/>
        <v>1500</v>
      </c>
      <c r="J19" s="325" t="str">
        <f t="shared" si="4"/>
        <v>Tidak</v>
      </c>
      <c r="K19" s="325">
        <f t="shared" si="5"/>
        <v>100</v>
      </c>
      <c r="L19" s="325">
        <f t="shared" si="6"/>
        <v>1400</v>
      </c>
    </row>
    <row r="20" spans="1:12">
      <c r="A20" s="318">
        <v>9</v>
      </c>
      <c r="B20" s="319" t="s">
        <v>537</v>
      </c>
      <c r="C20" s="556" t="s">
        <v>512</v>
      </c>
      <c r="D20" s="325" t="str">
        <f t="shared" si="0"/>
        <v>Komputer</v>
      </c>
      <c r="E20" s="318">
        <v>10</v>
      </c>
      <c r="F20" s="323">
        <v>38614</v>
      </c>
      <c r="G20" s="558">
        <f t="shared" si="1"/>
        <v>38600</v>
      </c>
      <c r="H20" s="559">
        <f t="shared" si="2"/>
        <v>14</v>
      </c>
      <c r="I20" s="325">
        <f t="shared" si="3"/>
        <v>5000</v>
      </c>
      <c r="J20" s="325" t="str">
        <f t="shared" si="4"/>
        <v>Tidak</v>
      </c>
      <c r="K20" s="325">
        <f t="shared" si="5"/>
        <v>50</v>
      </c>
      <c r="L20" s="325">
        <f t="shared" si="6"/>
        <v>4950</v>
      </c>
    </row>
    <row r="21" spans="1:12" ht="13.8" thickBot="1">
      <c r="A21" s="320">
        <v>10</v>
      </c>
      <c r="B21" s="321" t="s">
        <v>538</v>
      </c>
      <c r="C21" s="557" t="s">
        <v>517</v>
      </c>
      <c r="D21" s="325" t="str">
        <f t="shared" si="0"/>
        <v>Agama</v>
      </c>
      <c r="E21" s="320">
        <v>2</v>
      </c>
      <c r="F21" s="324">
        <v>38610</v>
      </c>
      <c r="G21" s="558">
        <f t="shared" si="1"/>
        <v>38596</v>
      </c>
      <c r="H21" s="559">
        <f t="shared" si="2"/>
        <v>18</v>
      </c>
      <c r="I21" s="325">
        <f t="shared" si="3"/>
        <v>400</v>
      </c>
      <c r="J21" s="325" t="str">
        <f t="shared" si="4"/>
        <v>Tidak</v>
      </c>
      <c r="K21" s="325">
        <f t="shared" si="5"/>
        <v>0</v>
      </c>
      <c r="L21" s="325">
        <f t="shared" si="6"/>
        <v>400</v>
      </c>
    </row>
    <row r="23" spans="1:12">
      <c r="A23" t="s">
        <v>539</v>
      </c>
    </row>
    <row r="24" spans="1:12">
      <c r="A24" t="s">
        <v>546</v>
      </c>
    </row>
    <row r="25" spans="1:12">
      <c r="A25" t="s">
        <v>547</v>
      </c>
    </row>
    <row r="26" spans="1:12">
      <c r="A26" t="s">
        <v>548</v>
      </c>
    </row>
    <row r="27" spans="1:12">
      <c r="A27" t="s">
        <v>540</v>
      </c>
    </row>
    <row r="28" spans="1:12">
      <c r="A28" t="s">
        <v>549</v>
      </c>
    </row>
    <row r="29" spans="1:12">
      <c r="A29" t="s">
        <v>550</v>
      </c>
    </row>
    <row r="30" spans="1:12">
      <c r="B30" t="s">
        <v>541</v>
      </c>
    </row>
    <row r="31" spans="1:12">
      <c r="B31" t="s">
        <v>542</v>
      </c>
    </row>
    <row r="32" spans="1:12">
      <c r="B32" t="s">
        <v>543</v>
      </c>
    </row>
    <row r="33" spans="1:2">
      <c r="B33" t="s">
        <v>544</v>
      </c>
    </row>
    <row r="34" spans="1:2">
      <c r="A34" t="s">
        <v>551</v>
      </c>
    </row>
    <row r="35" spans="1:2">
      <c r="A35" t="s">
        <v>545</v>
      </c>
    </row>
    <row r="36" spans="1:2">
      <c r="A36" t="s">
        <v>552</v>
      </c>
    </row>
  </sheetData>
  <phoneticPr fontId="5" type="noConversion"/>
  <pageMargins left="0.32" right="0.45" top="0.4" bottom="0.71" header="0.27" footer="0.5"/>
  <pageSetup orientation="landscape" horizontalDpi="4294967293" verticalDpi="4294967293" r:id="rId1"/>
  <headerFooter alignWithMargins="0">
    <oddFooter>&amp;LLPIA Cibinong&amp;C021-87906787&amp;RLATIHAN EXCEL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5"/>
  <sheetViews>
    <sheetView workbookViewId="0">
      <selection activeCell="I10" sqref="I10"/>
    </sheetView>
  </sheetViews>
  <sheetFormatPr defaultRowHeight="13.2"/>
  <cols>
    <col min="1" max="1" width="3.88671875" customWidth="1"/>
    <col min="2" max="2" width="10.88671875" customWidth="1"/>
    <col min="3" max="3" width="10" customWidth="1"/>
    <col min="4" max="4" width="17.5546875" customWidth="1"/>
    <col min="5" max="5" width="10" customWidth="1"/>
    <col min="8" max="8" width="10.109375" customWidth="1"/>
    <col min="9" max="9" width="18.109375" customWidth="1"/>
  </cols>
  <sheetData>
    <row r="1" spans="1:9" ht="16.2">
      <c r="A1" s="11" t="s">
        <v>585</v>
      </c>
    </row>
    <row r="3" spans="1:9" ht="22.8">
      <c r="A3" s="663" t="s">
        <v>554</v>
      </c>
      <c r="B3" s="663"/>
      <c r="C3" s="663"/>
      <c r="D3" s="663"/>
      <c r="E3" s="663"/>
      <c r="F3" s="663"/>
      <c r="G3" s="663"/>
      <c r="H3" s="663"/>
      <c r="I3" s="663"/>
    </row>
    <row r="4" spans="1:9" ht="17.399999999999999">
      <c r="A4" s="606" t="s">
        <v>555</v>
      </c>
      <c r="B4" s="606"/>
      <c r="C4" s="606"/>
      <c r="D4" s="606"/>
      <c r="E4" s="606"/>
      <c r="F4" s="606"/>
      <c r="G4" s="606"/>
      <c r="H4" s="606"/>
      <c r="I4" s="606"/>
    </row>
    <row r="5" spans="1:9" ht="13.8" thickBot="1"/>
    <row r="6" spans="1:9" ht="27" thickBot="1">
      <c r="A6" s="326" t="s">
        <v>556</v>
      </c>
      <c r="B6" s="327" t="s">
        <v>557</v>
      </c>
      <c r="C6" s="327" t="s">
        <v>558</v>
      </c>
      <c r="D6" s="327" t="s">
        <v>559</v>
      </c>
      <c r="E6" s="327" t="s">
        <v>560</v>
      </c>
      <c r="F6" s="327" t="s">
        <v>561</v>
      </c>
      <c r="G6" s="327" t="s">
        <v>562</v>
      </c>
      <c r="H6" s="327" t="s">
        <v>563</v>
      </c>
      <c r="I6" s="328" t="s">
        <v>564</v>
      </c>
    </row>
    <row r="7" spans="1:9" ht="4.5" customHeight="1" thickBot="1">
      <c r="A7" s="19"/>
      <c r="B7" s="19"/>
      <c r="C7" s="19"/>
      <c r="D7" s="19"/>
      <c r="E7" s="19"/>
      <c r="F7" s="19"/>
      <c r="G7" s="19"/>
      <c r="H7" s="19"/>
      <c r="I7" s="19"/>
    </row>
    <row r="8" spans="1:9">
      <c r="A8" s="329">
        <v>1</v>
      </c>
      <c r="B8" s="330" t="s">
        <v>565</v>
      </c>
      <c r="C8" s="331" t="str">
        <f>IF(LEFT(B8,2)="pk","Pakaian",IF(LEFT(B8,2)="sp","Sepatu","celana"))</f>
        <v>Pakaian</v>
      </c>
      <c r="D8" s="339" t="str">
        <f>IF(MID(B8,4,2)="AR","Baju Arrow",IF(MID(B8,4,2)="HM","Kaos Hammer","Celana LEA"))</f>
        <v>Baju Arrow</v>
      </c>
      <c r="E8" s="339" t="str">
        <f>IF(RIGHT(B8,2)="MT","Matahari",IF(RIGHT(B8,2)="RB","Robinson","Ramayana"))</f>
        <v>Matahari</v>
      </c>
      <c r="F8" s="339">
        <f>IF(MID(B8,4,2)="AR",75000,IF(MID(B8,4,2)="HM",65000,45000))</f>
        <v>75000</v>
      </c>
      <c r="G8" s="336">
        <v>19</v>
      </c>
      <c r="H8" s="339">
        <f>IF(G8&gt;=20,5%*F8,IF(AND(G8&lt;20,G8&gt;=10),5%*F8,5%*F8))</f>
        <v>3750</v>
      </c>
      <c r="I8" s="553">
        <f>(F8*G8)+H8</f>
        <v>1428750</v>
      </c>
    </row>
    <row r="9" spans="1:9">
      <c r="A9" s="332">
        <v>2</v>
      </c>
      <c r="B9" s="333" t="s">
        <v>566</v>
      </c>
      <c r="C9" s="331" t="str">
        <f>IF(LEFT(B9,2)="pk","Pakaian",IF(LEFT(B9,2)="sp","Sepatu","celana"))</f>
        <v>Sepatu</v>
      </c>
      <c r="D9" s="339" t="str">
        <f>IF(MID(B9,4,2)="AR","Baju Arrow",IF(MID(B9,4,2)="HM","Kaos Hammer","Celana LEA"))</f>
        <v>Kaos Hammer</v>
      </c>
      <c r="E9" s="339" t="str">
        <f>IF(RIGHT(B9,2)="MT","Matahari",IF(RIGHT(B9,2)="RB","Robinson","Ramayana"))</f>
        <v>Robinson</v>
      </c>
      <c r="F9" s="339">
        <f>IF(MID(B9,4,2)="AR",75000,IF(MID(B9,4,2)="HM",65000,45000))</f>
        <v>65000</v>
      </c>
      <c r="G9" s="337">
        <v>23</v>
      </c>
      <c r="H9" s="339">
        <f>IF(G9&gt;=20,5%*F9,IF(AND(G9&lt;20,G9&gt;=10),5%*F9,5%*F9))</f>
        <v>3250</v>
      </c>
      <c r="I9" s="553">
        <f>(F9*G9)+H9</f>
        <v>1498250</v>
      </c>
    </row>
    <row r="10" spans="1:9">
      <c r="A10" s="332">
        <v>3</v>
      </c>
      <c r="B10" s="333" t="s">
        <v>567</v>
      </c>
      <c r="C10" s="331" t="str">
        <f>IF(LEFT(B10,2)="pk","Pakaian",IF(LEFT(B10,2)="sp","Sepatu","celana"))</f>
        <v>celana</v>
      </c>
      <c r="D10" s="339" t="str">
        <f>IF(MID(B10,4,2)="AR","Baju Arrow",IF(MID(B10,4,2)="HM","Kaos Hammer","Celana LEA"))</f>
        <v>Celana LEA</v>
      </c>
      <c r="E10" s="339" t="str">
        <f>IF(RIGHT(B10,2)="MT","Matahari",IF(RIGHT(B10,2)="RB","Robinson","Ramayana"))</f>
        <v>Ramayana</v>
      </c>
      <c r="F10" s="339">
        <f>IF(MID(B10,4,2)="AR",75000,IF(MID(B10,4,2)="HM",65000,45000))</f>
        <v>45000</v>
      </c>
      <c r="G10" s="337">
        <v>14</v>
      </c>
      <c r="H10" s="339">
        <f>IF(G10&gt;=20,5%*F10,IF(AND(G10&lt;20,G10&gt;=10),5%*F10,5%*F10))</f>
        <v>2250</v>
      </c>
      <c r="I10" s="553">
        <f>(F10*G10)+H10</f>
        <v>632250</v>
      </c>
    </row>
    <row r="11" spans="1:9">
      <c r="A11" s="332">
        <v>4</v>
      </c>
      <c r="B11" s="333" t="s">
        <v>565</v>
      </c>
      <c r="C11" s="331" t="str">
        <f>IF(LEFT(B11,2)="pk","Pakaian",IF(LEFT(B11,2)="sp","Sepatu","celana"))</f>
        <v>Pakaian</v>
      </c>
      <c r="D11" s="339" t="str">
        <f>IF(MID(B11,4,2)="AR","Baju Arrow",IF(MID(B11,4,2)="HM","Kaos Hammer","Celana LEA"))</f>
        <v>Baju Arrow</v>
      </c>
      <c r="E11" s="339" t="str">
        <f>IF(RIGHT(B11,2)="MT","Matahari",IF(RIGHT(B11,2)="RB","Robinson","Ramayana"))</f>
        <v>Matahari</v>
      </c>
      <c r="F11" s="339">
        <f>IF(MID(B11,4,2)="AR",75000,IF(MID(B11,4,2)="HM",65000,45000))</f>
        <v>75000</v>
      </c>
      <c r="G11" s="337">
        <v>9</v>
      </c>
      <c r="H11" s="339">
        <f>IF(G11&gt;=20,5%*F11,IF(AND(G11&lt;20,G11&gt;=10),5%*F11,5%*F11))</f>
        <v>3750</v>
      </c>
      <c r="I11" s="553">
        <f>(F11*G11)+H11</f>
        <v>678750</v>
      </c>
    </row>
    <row r="12" spans="1:9" ht="13.8" thickBot="1">
      <c r="A12" s="334">
        <v>5</v>
      </c>
      <c r="B12" s="335" t="s">
        <v>566</v>
      </c>
      <c r="C12" s="331" t="str">
        <f>IF(LEFT(B12,2)="pk","Pakaian",IF(LEFT(B12,2)="sp","Sepatu","celana"))</f>
        <v>Sepatu</v>
      </c>
      <c r="D12" s="339" t="str">
        <f>IF(MID(B12,4,2)="AR","Baju Arrow",IF(MID(B12,4,2)="HM","Kaos Hammer","Celana LEA"))</f>
        <v>Kaos Hammer</v>
      </c>
      <c r="E12" s="339" t="str">
        <f>IF(RIGHT(B12,2)="MT","Matahari",IF(RIGHT(B12,2)="RB","Robinson","Ramayana"))</f>
        <v>Robinson</v>
      </c>
      <c r="F12" s="339">
        <f>IF(MID(B12,4,2)="AR",75000,IF(MID(B12,4,2)="HM",65000,45000))</f>
        <v>65000</v>
      </c>
      <c r="G12" s="338">
        <v>25</v>
      </c>
      <c r="H12" s="339">
        <f>IF(G12&gt;=20,5%*F12,IF(AND(G12&lt;20,G12&gt;=10),5%*F12,5%*F12))</f>
        <v>3250</v>
      </c>
      <c r="I12" s="553">
        <f>(F12*G12)+H12</f>
        <v>1628250</v>
      </c>
    </row>
    <row r="14" spans="1:9">
      <c r="A14" t="s">
        <v>568</v>
      </c>
    </row>
    <row r="15" spans="1:9">
      <c r="A15" t="s">
        <v>586</v>
      </c>
    </row>
    <row r="16" spans="1:9">
      <c r="B16" t="s">
        <v>569</v>
      </c>
    </row>
    <row r="17" spans="1:2">
      <c r="B17" t="s">
        <v>570</v>
      </c>
    </row>
    <row r="18" spans="1:2">
      <c r="B18" t="s">
        <v>571</v>
      </c>
    </row>
    <row r="19" spans="1:2">
      <c r="A19" t="s">
        <v>587</v>
      </c>
    </row>
    <row r="20" spans="1:2">
      <c r="B20" t="s">
        <v>572</v>
      </c>
    </row>
    <row r="21" spans="1:2">
      <c r="B21" t="s">
        <v>573</v>
      </c>
    </row>
    <row r="22" spans="1:2">
      <c r="B22" t="s">
        <v>574</v>
      </c>
    </row>
    <row r="23" spans="1:2">
      <c r="A23" t="s">
        <v>588</v>
      </c>
    </row>
    <row r="24" spans="1:2">
      <c r="B24" t="s">
        <v>575</v>
      </c>
    </row>
    <row r="25" spans="1:2">
      <c r="B25" t="s">
        <v>576</v>
      </c>
    </row>
    <row r="26" spans="1:2">
      <c r="B26" t="s">
        <v>577</v>
      </c>
    </row>
    <row r="27" spans="1:2">
      <c r="A27" t="s">
        <v>578</v>
      </c>
    </row>
    <row r="28" spans="1:2">
      <c r="B28" t="s">
        <v>582</v>
      </c>
    </row>
    <row r="29" spans="1:2">
      <c r="B29" t="s">
        <v>583</v>
      </c>
    </row>
    <row r="30" spans="1:2">
      <c r="B30" t="s">
        <v>584</v>
      </c>
    </row>
    <row r="31" spans="1:2">
      <c r="A31" t="s">
        <v>589</v>
      </c>
    </row>
    <row r="32" spans="1:2">
      <c r="B32" t="s">
        <v>579</v>
      </c>
    </row>
    <row r="33" spans="1:2">
      <c r="B33" t="s">
        <v>580</v>
      </c>
    </row>
    <row r="34" spans="1:2">
      <c r="B34" t="s">
        <v>581</v>
      </c>
    </row>
    <row r="35" spans="1:2">
      <c r="A35" t="s">
        <v>590</v>
      </c>
    </row>
  </sheetData>
  <mergeCells count="2">
    <mergeCell ref="A3:I3"/>
    <mergeCell ref="A4:I4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>
    <oddFooter>&amp;LLPIA CIBINONG&amp;C021.879 06787&amp;RLatihan EXCEL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6"/>
  <sheetViews>
    <sheetView zoomScale="80" zoomScaleNormal="80" workbookViewId="0">
      <selection activeCell="I12" sqref="I12"/>
    </sheetView>
  </sheetViews>
  <sheetFormatPr defaultRowHeight="13.2"/>
  <cols>
    <col min="1" max="1" width="13.6640625" customWidth="1"/>
    <col min="2" max="2" width="17.33203125" customWidth="1"/>
    <col min="3" max="3" width="13.109375" bestFit="1" customWidth="1"/>
    <col min="7" max="7" width="17" bestFit="1" customWidth="1"/>
    <col min="8" max="8" width="14.6640625" bestFit="1" customWidth="1"/>
    <col min="9" max="9" width="19" bestFit="1" customWidth="1"/>
  </cols>
  <sheetData>
    <row r="1" spans="1:9" ht="21">
      <c r="A1" s="664" t="s">
        <v>820</v>
      </c>
      <c r="B1" s="665"/>
      <c r="C1" s="665"/>
      <c r="D1" s="665"/>
      <c r="E1" s="665"/>
      <c r="F1" s="665"/>
      <c r="G1" s="665"/>
      <c r="H1" s="665"/>
      <c r="I1" s="665"/>
    </row>
    <row r="2" spans="1:9" ht="21">
      <c r="A2" s="664" t="s">
        <v>821</v>
      </c>
      <c r="B2" s="666"/>
      <c r="C2" s="666"/>
      <c r="D2" s="666"/>
      <c r="E2" s="666"/>
      <c r="F2" s="666"/>
      <c r="G2" s="666"/>
      <c r="H2" s="666"/>
      <c r="I2" s="666"/>
    </row>
    <row r="3" spans="1:9" ht="21.6" thickBot="1">
      <c r="A3" s="664" t="s">
        <v>822</v>
      </c>
      <c r="B3" s="664"/>
      <c r="C3" s="664"/>
      <c r="D3" s="664"/>
      <c r="E3" s="664"/>
      <c r="F3" s="664"/>
      <c r="G3" s="664"/>
      <c r="H3" s="664"/>
      <c r="I3" s="664"/>
    </row>
    <row r="4" spans="1:9" ht="13.8" thickTop="1">
      <c r="A4" s="667" t="s">
        <v>556</v>
      </c>
      <c r="B4" s="669" t="s">
        <v>823</v>
      </c>
      <c r="C4" s="671" t="s">
        <v>333</v>
      </c>
      <c r="D4" s="671"/>
      <c r="E4" s="671"/>
      <c r="F4" s="671"/>
      <c r="G4" s="669" t="s">
        <v>802</v>
      </c>
      <c r="H4" s="669" t="s">
        <v>824</v>
      </c>
      <c r="I4" s="669" t="s">
        <v>825</v>
      </c>
    </row>
    <row r="5" spans="1:9" ht="13.8" thickBot="1">
      <c r="A5" s="668"/>
      <c r="B5" s="670"/>
      <c r="C5" s="340" t="s">
        <v>826</v>
      </c>
      <c r="D5" s="340" t="s">
        <v>827</v>
      </c>
      <c r="E5" s="340" t="s">
        <v>828</v>
      </c>
      <c r="F5" s="340" t="s">
        <v>829</v>
      </c>
      <c r="G5" s="670"/>
      <c r="H5" s="670"/>
      <c r="I5" s="670"/>
    </row>
    <row r="6" spans="1:9" ht="13.8" thickTop="1">
      <c r="A6" s="342">
        <v>1</v>
      </c>
      <c r="B6" s="343" t="s">
        <v>830</v>
      </c>
      <c r="C6" s="344">
        <v>80</v>
      </c>
      <c r="D6" s="344">
        <v>80</v>
      </c>
      <c r="E6" s="344">
        <v>90</v>
      </c>
      <c r="F6" s="344">
        <v>60</v>
      </c>
      <c r="G6" s="341">
        <f>AVERAGE(C6:F6)</f>
        <v>77.5</v>
      </c>
      <c r="H6" s="341" t="str">
        <f>IF(G6&gt;70,"LULUS","GAGAL")</f>
        <v>LULUS</v>
      </c>
      <c r="I6" s="341" t="str">
        <f>IF(G6&lt;60,"D",IF(G6&gt;60&lt;80,"C",IF(G6&gt;80&lt;90,"B","A")))</f>
        <v>A</v>
      </c>
    </row>
    <row r="7" spans="1:9">
      <c r="A7" s="345">
        <v>2</v>
      </c>
      <c r="B7" s="346" t="s">
        <v>831</v>
      </c>
      <c r="C7" s="347">
        <v>60</v>
      </c>
      <c r="D7" s="347">
        <v>50</v>
      </c>
      <c r="E7" s="347">
        <v>70</v>
      </c>
      <c r="F7" s="347">
        <v>52</v>
      </c>
      <c r="G7" s="341">
        <f t="shared" ref="G7:G15" si="0">AVERAGE(C7:F7)</f>
        <v>58</v>
      </c>
      <c r="H7" s="341" t="str">
        <f t="shared" ref="H7:H15" si="1">IF(G7&gt;70,"LULUS","GAGAL")</f>
        <v>GAGAL</v>
      </c>
      <c r="I7" s="341" t="str">
        <f>IF(G7&lt;60,"D",IF(G7&lt;=80,"C",IF(G7&lt;=90,"B","A")))</f>
        <v>D</v>
      </c>
    </row>
    <row r="8" spans="1:9">
      <c r="A8" s="345">
        <v>3</v>
      </c>
      <c r="B8" s="346" t="s">
        <v>832</v>
      </c>
      <c r="C8" s="347">
        <v>56</v>
      </c>
      <c r="D8" s="347">
        <v>60</v>
      </c>
      <c r="E8" s="347">
        <v>85</v>
      </c>
      <c r="F8" s="347">
        <v>40</v>
      </c>
      <c r="G8" s="341">
        <f t="shared" si="0"/>
        <v>60.25</v>
      </c>
      <c r="H8" s="341" t="str">
        <f t="shared" si="1"/>
        <v>GAGAL</v>
      </c>
      <c r="I8" s="341" t="str">
        <f t="shared" ref="I8:I15" si="2">IF(G8&lt;60,"D",IF(G8&lt;=80,"C",IF(G8&lt;=90,"B","A")))</f>
        <v>C</v>
      </c>
    </row>
    <row r="9" spans="1:9">
      <c r="A9" s="345">
        <v>4</v>
      </c>
      <c r="B9" s="346" t="s">
        <v>833</v>
      </c>
      <c r="C9" s="347">
        <v>80</v>
      </c>
      <c r="D9" s="347">
        <v>55</v>
      </c>
      <c r="E9" s="347">
        <v>40</v>
      </c>
      <c r="F9" s="347">
        <v>40</v>
      </c>
      <c r="G9" s="341">
        <f t="shared" si="0"/>
        <v>53.75</v>
      </c>
      <c r="H9" s="341" t="str">
        <f t="shared" si="1"/>
        <v>GAGAL</v>
      </c>
      <c r="I9" s="341" t="str">
        <f t="shared" si="2"/>
        <v>D</v>
      </c>
    </row>
    <row r="10" spans="1:9">
      <c r="A10" s="345">
        <v>5</v>
      </c>
      <c r="B10" s="346" t="s">
        <v>751</v>
      </c>
      <c r="C10" s="347">
        <v>40</v>
      </c>
      <c r="D10" s="347">
        <v>80</v>
      </c>
      <c r="E10" s="347">
        <v>40</v>
      </c>
      <c r="F10" s="347">
        <v>50</v>
      </c>
      <c r="G10" s="341">
        <f t="shared" si="0"/>
        <v>52.5</v>
      </c>
      <c r="H10" s="341" t="str">
        <f t="shared" si="1"/>
        <v>GAGAL</v>
      </c>
      <c r="I10" s="341" t="str">
        <f t="shared" si="2"/>
        <v>D</v>
      </c>
    </row>
    <row r="11" spans="1:9">
      <c r="A11" s="345">
        <v>6</v>
      </c>
      <c r="B11" s="346" t="s">
        <v>753</v>
      </c>
      <c r="C11" s="347">
        <v>75</v>
      </c>
      <c r="D11" s="347">
        <v>80</v>
      </c>
      <c r="E11" s="347">
        <v>75</v>
      </c>
      <c r="F11" s="347">
        <v>50</v>
      </c>
      <c r="G11" s="341">
        <f t="shared" si="0"/>
        <v>70</v>
      </c>
      <c r="H11" s="341" t="str">
        <f t="shared" si="1"/>
        <v>GAGAL</v>
      </c>
      <c r="I11" s="341" t="str">
        <f t="shared" si="2"/>
        <v>C</v>
      </c>
    </row>
    <row r="12" spans="1:9">
      <c r="A12" s="345">
        <v>7</v>
      </c>
      <c r="B12" s="346" t="s">
        <v>834</v>
      </c>
      <c r="C12" s="347">
        <v>60</v>
      </c>
      <c r="D12" s="347">
        <v>56</v>
      </c>
      <c r="E12" s="347">
        <v>40</v>
      </c>
      <c r="F12" s="347">
        <v>85</v>
      </c>
      <c r="G12" s="341">
        <f t="shared" si="0"/>
        <v>60.25</v>
      </c>
      <c r="H12" s="341" t="str">
        <f t="shared" si="1"/>
        <v>GAGAL</v>
      </c>
      <c r="I12" s="341" t="str">
        <f t="shared" si="2"/>
        <v>C</v>
      </c>
    </row>
    <row r="13" spans="1:9">
      <c r="A13" s="345">
        <v>8</v>
      </c>
      <c r="B13" s="346" t="s">
        <v>835</v>
      </c>
      <c r="C13" s="347">
        <v>55</v>
      </c>
      <c r="D13" s="347">
        <v>80</v>
      </c>
      <c r="E13" s="347">
        <v>40</v>
      </c>
      <c r="F13" s="347">
        <v>40</v>
      </c>
      <c r="G13" s="341">
        <f t="shared" si="0"/>
        <v>53.75</v>
      </c>
      <c r="H13" s="341" t="str">
        <f t="shared" si="1"/>
        <v>GAGAL</v>
      </c>
      <c r="I13" s="341" t="str">
        <f t="shared" si="2"/>
        <v>D</v>
      </c>
    </row>
    <row r="14" spans="1:9">
      <c r="A14" s="345">
        <v>9</v>
      </c>
      <c r="B14" s="346" t="s">
        <v>836</v>
      </c>
      <c r="C14" s="347">
        <v>80</v>
      </c>
      <c r="D14" s="347">
        <v>40</v>
      </c>
      <c r="E14" s="347">
        <v>50</v>
      </c>
      <c r="F14" s="347">
        <v>40</v>
      </c>
      <c r="G14" s="341">
        <f t="shared" si="0"/>
        <v>52.5</v>
      </c>
      <c r="H14" s="341" t="str">
        <f t="shared" si="1"/>
        <v>GAGAL</v>
      </c>
      <c r="I14" s="341" t="str">
        <f t="shared" si="2"/>
        <v>D</v>
      </c>
    </row>
    <row r="15" spans="1:9" ht="13.8" thickBot="1">
      <c r="A15" s="348">
        <v>10</v>
      </c>
      <c r="B15" s="349" t="s">
        <v>759</v>
      </c>
      <c r="C15" s="350">
        <v>60</v>
      </c>
      <c r="D15" s="350">
        <v>75</v>
      </c>
      <c r="E15" s="350">
        <v>75</v>
      </c>
      <c r="F15" s="350">
        <v>60</v>
      </c>
      <c r="G15" s="341">
        <f t="shared" si="0"/>
        <v>67.5</v>
      </c>
      <c r="H15" s="341" t="str">
        <f t="shared" si="1"/>
        <v>GAGAL</v>
      </c>
      <c r="I15" s="341" t="str">
        <f t="shared" si="2"/>
        <v>C</v>
      </c>
    </row>
    <row r="16" spans="1:9" ht="14.4" thickTop="1" thickBot="1">
      <c r="A16" s="75"/>
    </row>
    <row r="17" spans="1:6">
      <c r="B17" s="357" t="s">
        <v>837</v>
      </c>
      <c r="C17" s="354">
        <f>MAX(C6:C15)</f>
        <v>80</v>
      </c>
      <c r="D17" s="354">
        <f>MAX(D6:D15)</f>
        <v>80</v>
      </c>
      <c r="E17" s="354">
        <f>MAX(E6:E15)</f>
        <v>90</v>
      </c>
      <c r="F17" s="354">
        <f>MAX(F6:F15)</f>
        <v>85</v>
      </c>
    </row>
    <row r="18" spans="1:6">
      <c r="B18" s="358" t="s">
        <v>838</v>
      </c>
      <c r="C18" s="355">
        <f>MIN(C6:C15)</f>
        <v>40</v>
      </c>
      <c r="D18" s="355">
        <f>MIN(D6:D15)</f>
        <v>40</v>
      </c>
      <c r="E18" s="355">
        <f>MIN(E6:E15)</f>
        <v>40</v>
      </c>
      <c r="F18" s="355">
        <f>MIN(F6:F15)</f>
        <v>40</v>
      </c>
    </row>
    <row r="19" spans="1:6" ht="13.8" thickBot="1">
      <c r="B19" s="359" t="s">
        <v>400</v>
      </c>
      <c r="C19" s="356">
        <f>AVERAGE(C6:C15)</f>
        <v>64.599999999999994</v>
      </c>
      <c r="D19" s="356">
        <f>AVERAGE(D6:D15)</f>
        <v>65.599999999999994</v>
      </c>
      <c r="E19" s="356">
        <f>AVERAGE(E6:E15)</f>
        <v>60.5</v>
      </c>
      <c r="F19" s="356">
        <f>AVERAGE(F6:F15)</f>
        <v>51.7</v>
      </c>
    </row>
    <row r="22" spans="1:6">
      <c r="A22" s="73" t="s">
        <v>839</v>
      </c>
    </row>
    <row r="23" spans="1:6">
      <c r="A23" s="71" t="s">
        <v>824</v>
      </c>
      <c r="B23" t="s">
        <v>840</v>
      </c>
    </row>
    <row r="24" spans="1:6">
      <c r="B24" t="s">
        <v>841</v>
      </c>
    </row>
    <row r="26" spans="1:6">
      <c r="A26" s="71" t="s">
        <v>825</v>
      </c>
      <c r="B26" s="71" t="s">
        <v>929</v>
      </c>
      <c r="C26" s="71"/>
    </row>
    <row r="27" spans="1:6">
      <c r="B27" t="s">
        <v>842</v>
      </c>
    </row>
    <row r="28" spans="1:6">
      <c r="B28" t="s">
        <v>843</v>
      </c>
    </row>
    <row r="29" spans="1:6">
      <c r="B29" t="s">
        <v>844</v>
      </c>
    </row>
    <row r="30" spans="1:6">
      <c r="B30" t="s">
        <v>845</v>
      </c>
    </row>
    <row r="32" spans="1:6">
      <c r="B32" s="71" t="s">
        <v>846</v>
      </c>
      <c r="C32" s="65" t="s">
        <v>847</v>
      </c>
    </row>
    <row r="33" spans="2:3">
      <c r="B33" s="71" t="s">
        <v>848</v>
      </c>
      <c r="C33" s="65" t="s">
        <v>849</v>
      </c>
    </row>
    <row r="34" spans="2:3">
      <c r="B34" s="71" t="s">
        <v>850</v>
      </c>
      <c r="C34" s="65" t="s">
        <v>851</v>
      </c>
    </row>
    <row r="35" spans="2:3">
      <c r="B35" s="71"/>
    </row>
    <row r="36" spans="2:3">
      <c r="B36" s="71" t="s">
        <v>362</v>
      </c>
      <c r="C36" s="65" t="s">
        <v>852</v>
      </c>
    </row>
  </sheetData>
  <mergeCells count="9">
    <mergeCell ref="A1:I1"/>
    <mergeCell ref="A2:I2"/>
    <mergeCell ref="A3:I3"/>
    <mergeCell ref="A4:A5"/>
    <mergeCell ref="B4:B5"/>
    <mergeCell ref="C4:F4"/>
    <mergeCell ref="G4:G5"/>
    <mergeCell ref="H4:H5"/>
    <mergeCell ref="I4:I5"/>
  </mergeCells>
  <phoneticPr fontId="5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5"/>
  <sheetViews>
    <sheetView workbookViewId="0">
      <selection activeCell="I12" sqref="I12"/>
    </sheetView>
  </sheetViews>
  <sheetFormatPr defaultRowHeight="13.2"/>
  <cols>
    <col min="2" max="2" width="13.109375" customWidth="1"/>
    <col min="3" max="3" width="24.6640625" customWidth="1"/>
    <col min="4" max="4" width="10.6640625" customWidth="1"/>
    <col min="5" max="5" width="11" customWidth="1"/>
    <col min="6" max="6" width="10.6640625" customWidth="1"/>
    <col min="7" max="7" width="13.33203125" customWidth="1"/>
    <col min="8" max="8" width="16" customWidth="1"/>
    <col min="9" max="9" width="13.5546875" customWidth="1"/>
    <col min="10" max="10" width="11.44140625" customWidth="1"/>
  </cols>
  <sheetData>
    <row r="1" spans="1:10" ht="21">
      <c r="A1" s="76" t="s">
        <v>853</v>
      </c>
      <c r="B1" s="76"/>
      <c r="C1" s="77"/>
      <c r="F1" s="6"/>
    </row>
    <row r="2" spans="1:10" ht="21.6" thickBot="1">
      <c r="A2" s="78" t="s">
        <v>854</v>
      </c>
      <c r="B2" s="78"/>
      <c r="C2" s="78"/>
      <c r="F2" s="6"/>
    </row>
    <row r="3" spans="1:10">
      <c r="A3" s="672" t="s">
        <v>556</v>
      </c>
      <c r="B3" s="674" t="s">
        <v>559</v>
      </c>
      <c r="C3" s="674" t="s">
        <v>855</v>
      </c>
      <c r="D3" s="674" t="s">
        <v>856</v>
      </c>
      <c r="E3" s="674" t="s">
        <v>857</v>
      </c>
      <c r="F3" s="674" t="s">
        <v>858</v>
      </c>
      <c r="G3" s="674" t="s">
        <v>561</v>
      </c>
      <c r="H3" s="674" t="s">
        <v>859</v>
      </c>
      <c r="I3" s="674" t="s">
        <v>860</v>
      </c>
      <c r="J3" s="676" t="s">
        <v>731</v>
      </c>
    </row>
    <row r="4" spans="1:10" ht="20.25" customHeight="1">
      <c r="A4" s="673"/>
      <c r="B4" s="675"/>
      <c r="C4" s="675"/>
      <c r="D4" s="675"/>
      <c r="E4" s="675"/>
      <c r="F4" s="675"/>
      <c r="G4" s="675"/>
      <c r="H4" s="675"/>
      <c r="I4" s="675"/>
      <c r="J4" s="677"/>
    </row>
    <row r="5" spans="1:10">
      <c r="A5" s="361">
        <v>1</v>
      </c>
      <c r="B5" s="333" t="s">
        <v>861</v>
      </c>
      <c r="C5" s="333" t="s">
        <v>862</v>
      </c>
      <c r="D5" s="362">
        <v>12</v>
      </c>
      <c r="E5" s="362">
        <v>12</v>
      </c>
      <c r="F5" s="158">
        <f>D5-E5</f>
        <v>0</v>
      </c>
      <c r="G5" s="112">
        <v>35000</v>
      </c>
      <c r="H5" s="519">
        <f>E5*G5</f>
        <v>420000</v>
      </c>
      <c r="I5" s="79">
        <v>0.1</v>
      </c>
      <c r="J5" s="574">
        <f>H5-(I5*H5)</f>
        <v>378000</v>
      </c>
    </row>
    <row r="6" spans="1:10">
      <c r="A6" s="361">
        <v>2</v>
      </c>
      <c r="B6" s="333" t="s">
        <v>863</v>
      </c>
      <c r="C6" s="333" t="s">
        <v>864</v>
      </c>
      <c r="D6" s="362">
        <v>13</v>
      </c>
      <c r="E6" s="362">
        <v>9</v>
      </c>
      <c r="F6" s="158">
        <f t="shared" ref="F6:F19" si="0">D6-E6</f>
        <v>4</v>
      </c>
      <c r="G6" s="112">
        <v>30000</v>
      </c>
      <c r="H6" s="519">
        <f>E6*G6</f>
        <v>270000</v>
      </c>
      <c r="I6" s="79">
        <v>0.1</v>
      </c>
      <c r="J6" s="574">
        <f t="shared" ref="J6:J19" si="1">H6-(I6*H6)</f>
        <v>243000</v>
      </c>
    </row>
    <row r="7" spans="1:10">
      <c r="A7" s="361">
        <v>3</v>
      </c>
      <c r="B7" s="333" t="s">
        <v>865</v>
      </c>
      <c r="C7" s="333" t="s">
        <v>866</v>
      </c>
      <c r="D7" s="362">
        <v>26</v>
      </c>
      <c r="E7" s="362">
        <v>19</v>
      </c>
      <c r="F7" s="158">
        <f t="shared" si="0"/>
        <v>7</v>
      </c>
      <c r="G7" s="112">
        <v>25000</v>
      </c>
      <c r="H7" s="519">
        <f t="shared" ref="H7:H19" si="2">E7*G7</f>
        <v>475000</v>
      </c>
      <c r="I7" s="79">
        <v>0.1</v>
      </c>
      <c r="J7" s="574">
        <f t="shared" si="1"/>
        <v>427500</v>
      </c>
    </row>
    <row r="8" spans="1:10">
      <c r="A8" s="361">
        <v>4</v>
      </c>
      <c r="B8" s="333" t="s">
        <v>867</v>
      </c>
      <c r="C8" s="333" t="s">
        <v>868</v>
      </c>
      <c r="D8" s="362">
        <v>25</v>
      </c>
      <c r="E8" s="362">
        <v>11</v>
      </c>
      <c r="F8" s="158">
        <f t="shared" si="0"/>
        <v>14</v>
      </c>
      <c r="G8" s="112">
        <v>5000</v>
      </c>
      <c r="H8" s="519">
        <f t="shared" si="2"/>
        <v>55000</v>
      </c>
      <c r="I8" s="79">
        <v>0.1</v>
      </c>
      <c r="J8" s="574">
        <f t="shared" si="1"/>
        <v>49500</v>
      </c>
    </row>
    <row r="9" spans="1:10">
      <c r="A9" s="361">
        <v>5</v>
      </c>
      <c r="B9" s="333" t="s">
        <v>869</v>
      </c>
      <c r="C9" s="333" t="s">
        <v>870</v>
      </c>
      <c r="D9" s="362">
        <v>43</v>
      </c>
      <c r="E9" s="362">
        <v>25</v>
      </c>
      <c r="F9" s="158">
        <f t="shared" si="0"/>
        <v>18</v>
      </c>
      <c r="G9" s="112">
        <v>6000</v>
      </c>
      <c r="H9" s="519">
        <f t="shared" si="2"/>
        <v>150000</v>
      </c>
      <c r="I9" s="79">
        <v>0.1</v>
      </c>
      <c r="J9" s="574">
        <f t="shared" si="1"/>
        <v>135000</v>
      </c>
    </row>
    <row r="10" spans="1:10">
      <c r="A10" s="361">
        <v>6</v>
      </c>
      <c r="B10" s="333" t="s">
        <v>871</v>
      </c>
      <c r="C10" s="333" t="s">
        <v>872</v>
      </c>
      <c r="D10" s="362">
        <v>75</v>
      </c>
      <c r="E10" s="362">
        <v>20</v>
      </c>
      <c r="F10" s="158">
        <f t="shared" si="0"/>
        <v>55</v>
      </c>
      <c r="G10" s="112">
        <v>2500</v>
      </c>
      <c r="H10" s="519">
        <f t="shared" si="2"/>
        <v>50000</v>
      </c>
      <c r="I10" s="79">
        <v>0.1</v>
      </c>
      <c r="J10" s="574">
        <f t="shared" si="1"/>
        <v>45000</v>
      </c>
    </row>
    <row r="11" spans="1:10">
      <c r="A11" s="361">
        <v>7</v>
      </c>
      <c r="B11" s="333" t="s">
        <v>873</v>
      </c>
      <c r="C11" s="333" t="s">
        <v>874</v>
      </c>
      <c r="D11" s="362">
        <v>10</v>
      </c>
      <c r="E11" s="362">
        <v>9</v>
      </c>
      <c r="F11" s="158">
        <f t="shared" si="0"/>
        <v>1</v>
      </c>
      <c r="G11" s="112">
        <v>3000</v>
      </c>
      <c r="H11" s="519">
        <f t="shared" si="2"/>
        <v>27000</v>
      </c>
      <c r="I11" s="79">
        <v>0.1</v>
      </c>
      <c r="J11" s="574">
        <f t="shared" si="1"/>
        <v>24300</v>
      </c>
    </row>
    <row r="12" spans="1:10">
      <c r="A12" s="361">
        <v>8</v>
      </c>
      <c r="B12" s="333" t="s">
        <v>875</v>
      </c>
      <c r="C12" s="333" t="s">
        <v>876</v>
      </c>
      <c r="D12" s="362">
        <v>18</v>
      </c>
      <c r="E12" s="362">
        <v>12</v>
      </c>
      <c r="F12" s="158">
        <f t="shared" si="0"/>
        <v>6</v>
      </c>
      <c r="G12" s="112">
        <v>2500</v>
      </c>
      <c r="H12" s="519">
        <f t="shared" si="2"/>
        <v>30000</v>
      </c>
      <c r="I12" s="79">
        <v>0.1</v>
      </c>
      <c r="J12" s="574">
        <f t="shared" si="1"/>
        <v>27000</v>
      </c>
    </row>
    <row r="13" spans="1:10">
      <c r="A13" s="361">
        <v>9</v>
      </c>
      <c r="B13" s="333" t="s">
        <v>877</v>
      </c>
      <c r="C13" s="333" t="s">
        <v>868</v>
      </c>
      <c r="D13" s="362">
        <v>32</v>
      </c>
      <c r="E13" s="362">
        <v>10</v>
      </c>
      <c r="F13" s="158">
        <f t="shared" si="0"/>
        <v>22</v>
      </c>
      <c r="G13" s="112">
        <v>1500</v>
      </c>
      <c r="H13" s="519">
        <f t="shared" si="2"/>
        <v>15000</v>
      </c>
      <c r="I13" s="79">
        <v>0.1</v>
      </c>
      <c r="J13" s="574">
        <f t="shared" si="1"/>
        <v>13500</v>
      </c>
    </row>
    <row r="14" spans="1:10">
      <c r="A14" s="361">
        <v>10</v>
      </c>
      <c r="B14" s="333" t="s">
        <v>878</v>
      </c>
      <c r="C14" s="333" t="s">
        <v>870</v>
      </c>
      <c r="D14" s="362">
        <v>45</v>
      </c>
      <c r="E14" s="362">
        <v>21</v>
      </c>
      <c r="F14" s="158">
        <f t="shared" si="0"/>
        <v>24</v>
      </c>
      <c r="G14" s="112">
        <v>65000</v>
      </c>
      <c r="H14" s="519">
        <f t="shared" si="2"/>
        <v>1365000</v>
      </c>
      <c r="I14" s="79">
        <v>0.1</v>
      </c>
      <c r="J14" s="574">
        <f t="shared" si="1"/>
        <v>1228500</v>
      </c>
    </row>
    <row r="15" spans="1:10">
      <c r="A15" s="361">
        <v>11</v>
      </c>
      <c r="B15" s="333" t="s">
        <v>879</v>
      </c>
      <c r="C15" s="333" t="s">
        <v>876</v>
      </c>
      <c r="D15" s="362">
        <v>39</v>
      </c>
      <c r="E15" s="362">
        <v>18</v>
      </c>
      <c r="F15" s="158">
        <f t="shared" si="0"/>
        <v>21</v>
      </c>
      <c r="G15" s="112">
        <v>7500</v>
      </c>
      <c r="H15" s="519">
        <f t="shared" si="2"/>
        <v>135000</v>
      </c>
      <c r="I15" s="79">
        <v>0.1</v>
      </c>
      <c r="J15" s="574">
        <f t="shared" si="1"/>
        <v>121500</v>
      </c>
    </row>
    <row r="16" spans="1:10">
      <c r="A16" s="361">
        <v>12</v>
      </c>
      <c r="B16" s="333" t="s">
        <v>880</v>
      </c>
      <c r="C16" s="333" t="s">
        <v>866</v>
      </c>
      <c r="D16" s="362">
        <v>56</v>
      </c>
      <c r="E16" s="362">
        <v>44</v>
      </c>
      <c r="F16" s="158">
        <f t="shared" si="0"/>
        <v>12</v>
      </c>
      <c r="G16" s="112">
        <v>7300</v>
      </c>
      <c r="H16" s="519">
        <f t="shared" si="2"/>
        <v>321200</v>
      </c>
      <c r="I16" s="79">
        <v>0.1</v>
      </c>
      <c r="J16" s="574">
        <f t="shared" si="1"/>
        <v>289080</v>
      </c>
    </row>
    <row r="17" spans="1:10">
      <c r="A17" s="361">
        <v>13</v>
      </c>
      <c r="B17" s="333" t="s">
        <v>881</v>
      </c>
      <c r="C17" s="333" t="s">
        <v>864</v>
      </c>
      <c r="D17" s="362">
        <v>55</v>
      </c>
      <c r="E17" s="362">
        <v>31</v>
      </c>
      <c r="F17" s="158">
        <f t="shared" si="0"/>
        <v>24</v>
      </c>
      <c r="G17" s="112">
        <v>15000</v>
      </c>
      <c r="H17" s="519">
        <f t="shared" si="2"/>
        <v>465000</v>
      </c>
      <c r="I17" s="79">
        <v>0.1</v>
      </c>
      <c r="J17" s="574">
        <f t="shared" si="1"/>
        <v>418500</v>
      </c>
    </row>
    <row r="18" spans="1:10">
      <c r="A18" s="361">
        <v>14</v>
      </c>
      <c r="B18" s="333" t="s">
        <v>882</v>
      </c>
      <c r="C18" s="333" t="s">
        <v>870</v>
      </c>
      <c r="D18" s="362">
        <v>28</v>
      </c>
      <c r="E18" s="362">
        <v>6</v>
      </c>
      <c r="F18" s="158">
        <f t="shared" si="0"/>
        <v>22</v>
      </c>
      <c r="G18" s="112">
        <v>10000</v>
      </c>
      <c r="H18" s="519">
        <f t="shared" si="2"/>
        <v>60000</v>
      </c>
      <c r="I18" s="79">
        <v>0.1</v>
      </c>
      <c r="J18" s="574">
        <f t="shared" si="1"/>
        <v>54000</v>
      </c>
    </row>
    <row r="19" spans="1:10" ht="13.8" thickBot="1">
      <c r="A19" s="363">
        <v>15</v>
      </c>
      <c r="B19" s="335" t="s">
        <v>883</v>
      </c>
      <c r="C19" s="335" t="s">
        <v>884</v>
      </c>
      <c r="D19" s="364">
        <v>49</v>
      </c>
      <c r="E19" s="364">
        <v>4</v>
      </c>
      <c r="F19" s="158">
        <f t="shared" si="0"/>
        <v>45</v>
      </c>
      <c r="G19" s="112">
        <v>9500</v>
      </c>
      <c r="H19" s="519">
        <f t="shared" si="2"/>
        <v>38000</v>
      </c>
      <c r="I19" s="79">
        <v>0.1</v>
      </c>
      <c r="J19" s="574">
        <f t="shared" si="1"/>
        <v>34200</v>
      </c>
    </row>
    <row r="22" spans="1:10">
      <c r="A22" s="73" t="s">
        <v>616</v>
      </c>
    </row>
    <row r="23" spans="1:10">
      <c r="A23" s="71">
        <v>1</v>
      </c>
      <c r="B23" s="71" t="s">
        <v>887</v>
      </c>
      <c r="C23" s="65" t="s">
        <v>888</v>
      </c>
    </row>
    <row r="24" spans="1:10">
      <c r="A24" s="71">
        <v>2</v>
      </c>
      <c r="B24" s="71" t="s">
        <v>885</v>
      </c>
      <c r="C24" s="65" t="s">
        <v>886</v>
      </c>
    </row>
    <row r="25" spans="1:10">
      <c r="A25" s="71">
        <v>3</v>
      </c>
      <c r="B25" s="71" t="s">
        <v>889</v>
      </c>
      <c r="C25" s="65" t="s">
        <v>890</v>
      </c>
    </row>
  </sheetData>
  <mergeCells count="10">
    <mergeCell ref="J3:J4"/>
    <mergeCell ref="E3:E4"/>
    <mergeCell ref="F3:F4"/>
    <mergeCell ref="G3:G4"/>
    <mergeCell ref="H3:H4"/>
    <mergeCell ref="A3:A4"/>
    <mergeCell ref="B3:B4"/>
    <mergeCell ref="C3:C4"/>
    <mergeCell ref="D3:D4"/>
    <mergeCell ref="I3:I4"/>
  </mergeCells>
  <phoneticPr fontId="5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="98" zoomScaleNormal="98" workbookViewId="0">
      <selection activeCell="H8" sqref="H8"/>
    </sheetView>
  </sheetViews>
  <sheetFormatPr defaultRowHeight="13.2"/>
  <cols>
    <col min="2" max="2" width="12.88671875" customWidth="1"/>
    <col min="4" max="4" width="12.109375" bestFit="1" customWidth="1"/>
    <col min="5" max="5" width="15.5546875" customWidth="1"/>
    <col min="6" max="6" width="12.6640625" customWidth="1"/>
    <col min="7" max="7" width="13.6640625" customWidth="1"/>
    <col min="8" max="8" width="12.44140625" customWidth="1"/>
    <col min="9" max="9" width="17" customWidth="1"/>
    <col min="10" max="10" width="17.109375" customWidth="1"/>
    <col min="11" max="11" width="16.88671875" customWidth="1"/>
  </cols>
  <sheetData>
    <row r="1" spans="1:11" ht="14.4">
      <c r="A1" s="678" t="s">
        <v>891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4.4">
      <c r="A2" s="678" t="s">
        <v>892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3" spans="1:11" ht="14.4">
      <c r="A3" s="678" t="s">
        <v>893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</row>
    <row r="5" spans="1:11">
      <c r="A5" s="679" t="s">
        <v>2</v>
      </c>
      <c r="B5" s="681" t="s">
        <v>102</v>
      </c>
      <c r="C5" s="681" t="s">
        <v>894</v>
      </c>
      <c r="D5" s="681" t="s">
        <v>69</v>
      </c>
      <c r="E5" s="681" t="s">
        <v>895</v>
      </c>
      <c r="F5" s="681" t="s">
        <v>601</v>
      </c>
      <c r="G5" s="683" t="s">
        <v>896</v>
      </c>
      <c r="H5" s="681" t="s">
        <v>201</v>
      </c>
      <c r="I5" s="681" t="s">
        <v>897</v>
      </c>
      <c r="J5" s="681" t="s">
        <v>74</v>
      </c>
      <c r="K5" s="685" t="s">
        <v>602</v>
      </c>
    </row>
    <row r="6" spans="1:11" ht="13.8" thickBot="1">
      <c r="A6" s="680"/>
      <c r="B6" s="682"/>
      <c r="C6" s="682"/>
      <c r="D6" s="682"/>
      <c r="E6" s="682"/>
      <c r="F6" s="682"/>
      <c r="G6" s="684"/>
      <c r="H6" s="682"/>
      <c r="I6" s="682"/>
      <c r="J6" s="682"/>
      <c r="K6" s="686"/>
    </row>
    <row r="7" spans="1:11" ht="13.8" thickTop="1">
      <c r="A7" s="373">
        <v>1</v>
      </c>
      <c r="B7" s="374" t="s">
        <v>898</v>
      </c>
      <c r="C7" s="374" t="s">
        <v>255</v>
      </c>
      <c r="D7" s="374" t="s">
        <v>899</v>
      </c>
      <c r="E7" s="375">
        <v>750000</v>
      </c>
      <c r="F7" s="372">
        <f>30%*E7</f>
        <v>225000</v>
      </c>
      <c r="G7" s="520">
        <f>15%*E7</f>
        <v>112500</v>
      </c>
      <c r="H7" s="521">
        <f>20%*(E7+F7)</f>
        <v>195000</v>
      </c>
      <c r="I7" s="523">
        <f>(E7+F7+H7)-G7</f>
        <v>1057500</v>
      </c>
      <c r="J7" s="534">
        <f>IF(I7&gt;900000,5%*E7,IF(I7&gt;400000,2.5%*E7,1%*E7))</f>
        <v>37500</v>
      </c>
      <c r="K7" s="525">
        <f>I7-J7</f>
        <v>1020000</v>
      </c>
    </row>
    <row r="8" spans="1:11">
      <c r="A8" s="376">
        <v>2</v>
      </c>
      <c r="B8" s="377" t="s">
        <v>900</v>
      </c>
      <c r="C8" s="377" t="s">
        <v>255</v>
      </c>
      <c r="D8" s="377" t="s">
        <v>899</v>
      </c>
      <c r="E8" s="378">
        <v>600000</v>
      </c>
      <c r="F8" s="372">
        <f>30%*E8</f>
        <v>180000</v>
      </c>
      <c r="G8" s="372">
        <f>15%*E8</f>
        <v>90000</v>
      </c>
      <c r="H8" s="522">
        <f>20%*(E8+F8)</f>
        <v>156000</v>
      </c>
      <c r="I8" s="524">
        <f>(E8+F8+H8)-G8</f>
        <v>846000</v>
      </c>
      <c r="J8" s="534">
        <f>IF(I8&gt;900000,5%*E8,IF(I8&gt;4000000,2.5%*E8,1%*E8))</f>
        <v>6000</v>
      </c>
      <c r="K8" s="526">
        <f>I8-J8</f>
        <v>840000</v>
      </c>
    </row>
    <row r="9" spans="1:11">
      <c r="A9" s="376">
        <v>3</v>
      </c>
      <c r="B9" s="377" t="s">
        <v>901</v>
      </c>
      <c r="C9" s="377" t="s">
        <v>16</v>
      </c>
      <c r="D9" s="377" t="s">
        <v>899</v>
      </c>
      <c r="E9" s="378">
        <v>300000</v>
      </c>
      <c r="F9" s="372">
        <f t="shared" ref="F9:F16" si="0">30%*E9</f>
        <v>90000</v>
      </c>
      <c r="G9" s="372">
        <f t="shared" ref="G9:G16" si="1">15%*E9</f>
        <v>45000</v>
      </c>
      <c r="H9" s="522">
        <f t="shared" ref="H9:H16" si="2">20%*(E9+F9)</f>
        <v>78000</v>
      </c>
      <c r="I9" s="524">
        <f t="shared" ref="I9:I16" si="3">(E9+F9+H9)-G9</f>
        <v>423000</v>
      </c>
      <c r="J9" s="534">
        <f t="shared" ref="J9:J16" si="4">IF(I9&gt;900000,5%*E9,IF(I9&gt;4000000,2.5%*E9,1%*E9))</f>
        <v>3000</v>
      </c>
      <c r="K9" s="526">
        <f t="shared" ref="K9:K16" si="5">I9-J9</f>
        <v>420000</v>
      </c>
    </row>
    <row r="10" spans="1:11">
      <c r="A10" s="376">
        <v>4</v>
      </c>
      <c r="B10" s="377" t="s">
        <v>902</v>
      </c>
      <c r="C10" s="377" t="s">
        <v>255</v>
      </c>
      <c r="D10" s="377" t="s">
        <v>903</v>
      </c>
      <c r="E10" s="378">
        <v>300000</v>
      </c>
      <c r="F10" s="372">
        <f t="shared" si="0"/>
        <v>90000</v>
      </c>
      <c r="G10" s="372">
        <f t="shared" si="1"/>
        <v>45000</v>
      </c>
      <c r="H10" s="522">
        <f t="shared" si="2"/>
        <v>78000</v>
      </c>
      <c r="I10" s="524">
        <f t="shared" si="3"/>
        <v>423000</v>
      </c>
      <c r="J10" s="534">
        <f t="shared" si="4"/>
        <v>3000</v>
      </c>
      <c r="K10" s="526">
        <f t="shared" si="5"/>
        <v>420000</v>
      </c>
    </row>
    <row r="11" spans="1:11">
      <c r="A11" s="376">
        <v>5</v>
      </c>
      <c r="B11" s="377" t="s">
        <v>904</v>
      </c>
      <c r="C11" s="377" t="s">
        <v>255</v>
      </c>
      <c r="D11" s="377" t="s">
        <v>903</v>
      </c>
      <c r="E11" s="378">
        <v>250000</v>
      </c>
      <c r="F11" s="372">
        <f t="shared" si="0"/>
        <v>75000</v>
      </c>
      <c r="G11" s="372">
        <f t="shared" si="1"/>
        <v>37500</v>
      </c>
      <c r="H11" s="522">
        <f t="shared" si="2"/>
        <v>65000</v>
      </c>
      <c r="I11" s="524">
        <f t="shared" si="3"/>
        <v>352500</v>
      </c>
      <c r="J11" s="534">
        <f t="shared" si="4"/>
        <v>2500</v>
      </c>
      <c r="K11" s="526">
        <f t="shared" si="5"/>
        <v>350000</v>
      </c>
    </row>
    <row r="12" spans="1:11">
      <c r="A12" s="376">
        <v>6</v>
      </c>
      <c r="B12" s="377" t="s">
        <v>905</v>
      </c>
      <c r="C12" s="377" t="s">
        <v>255</v>
      </c>
      <c r="D12" s="377" t="s">
        <v>903</v>
      </c>
      <c r="E12" s="378">
        <v>200000</v>
      </c>
      <c r="F12" s="372">
        <f t="shared" si="0"/>
        <v>60000</v>
      </c>
      <c r="G12" s="372">
        <f t="shared" si="1"/>
        <v>30000</v>
      </c>
      <c r="H12" s="522">
        <f t="shared" si="2"/>
        <v>52000</v>
      </c>
      <c r="I12" s="524">
        <f t="shared" si="3"/>
        <v>282000</v>
      </c>
      <c r="J12" s="534">
        <f t="shared" si="4"/>
        <v>2000</v>
      </c>
      <c r="K12" s="526">
        <f t="shared" si="5"/>
        <v>280000</v>
      </c>
    </row>
    <row r="13" spans="1:11">
      <c r="A13" s="376">
        <v>7</v>
      </c>
      <c r="B13" s="377" t="s">
        <v>906</v>
      </c>
      <c r="C13" s="377" t="s">
        <v>16</v>
      </c>
      <c r="D13" s="377" t="s">
        <v>903</v>
      </c>
      <c r="E13" s="378">
        <v>175000</v>
      </c>
      <c r="F13" s="372">
        <f t="shared" si="0"/>
        <v>52500</v>
      </c>
      <c r="G13" s="372">
        <f t="shared" si="1"/>
        <v>26250</v>
      </c>
      <c r="H13" s="522">
        <f t="shared" si="2"/>
        <v>45500</v>
      </c>
      <c r="I13" s="524">
        <f t="shared" si="3"/>
        <v>246750</v>
      </c>
      <c r="J13" s="534">
        <f t="shared" si="4"/>
        <v>1750</v>
      </c>
      <c r="K13" s="526">
        <f t="shared" si="5"/>
        <v>245000</v>
      </c>
    </row>
    <row r="14" spans="1:11">
      <c r="A14" s="376">
        <v>8</v>
      </c>
      <c r="B14" s="377" t="s">
        <v>907</v>
      </c>
      <c r="C14" s="377" t="s">
        <v>16</v>
      </c>
      <c r="D14" s="377" t="s">
        <v>903</v>
      </c>
      <c r="E14" s="378">
        <v>275000</v>
      </c>
      <c r="F14" s="372">
        <f t="shared" si="0"/>
        <v>82500</v>
      </c>
      <c r="G14" s="372">
        <f t="shared" si="1"/>
        <v>41250</v>
      </c>
      <c r="H14" s="522">
        <f t="shared" si="2"/>
        <v>71500</v>
      </c>
      <c r="I14" s="524">
        <f t="shared" si="3"/>
        <v>387750</v>
      </c>
      <c r="J14" s="534">
        <f t="shared" si="4"/>
        <v>2750</v>
      </c>
      <c r="K14" s="526">
        <f t="shared" si="5"/>
        <v>385000</v>
      </c>
    </row>
    <row r="15" spans="1:11">
      <c r="A15" s="376">
        <v>9</v>
      </c>
      <c r="B15" s="377" t="s">
        <v>908</v>
      </c>
      <c r="C15" s="377" t="s">
        <v>16</v>
      </c>
      <c r="D15" s="377" t="s">
        <v>909</v>
      </c>
      <c r="E15" s="378">
        <v>100000</v>
      </c>
      <c r="F15" s="372">
        <f t="shared" si="0"/>
        <v>30000</v>
      </c>
      <c r="G15" s="372">
        <f t="shared" si="1"/>
        <v>15000</v>
      </c>
      <c r="H15" s="522">
        <f t="shared" si="2"/>
        <v>26000</v>
      </c>
      <c r="I15" s="524">
        <f t="shared" si="3"/>
        <v>141000</v>
      </c>
      <c r="J15" s="534">
        <f t="shared" si="4"/>
        <v>1000</v>
      </c>
      <c r="K15" s="526">
        <f t="shared" si="5"/>
        <v>140000</v>
      </c>
    </row>
    <row r="16" spans="1:11" ht="13.8" thickBot="1">
      <c r="A16" s="379">
        <v>10</v>
      </c>
      <c r="B16" s="380" t="s">
        <v>910</v>
      </c>
      <c r="C16" s="380" t="s">
        <v>255</v>
      </c>
      <c r="D16" s="380" t="s">
        <v>911</v>
      </c>
      <c r="E16" s="381">
        <v>200000</v>
      </c>
      <c r="F16" s="372">
        <f t="shared" si="0"/>
        <v>60000</v>
      </c>
      <c r="G16" s="372">
        <f t="shared" si="1"/>
        <v>30000</v>
      </c>
      <c r="H16" s="522">
        <f t="shared" si="2"/>
        <v>52000</v>
      </c>
      <c r="I16" s="524">
        <f t="shared" si="3"/>
        <v>282000</v>
      </c>
      <c r="J16" s="534">
        <f t="shared" si="4"/>
        <v>2000</v>
      </c>
      <c r="K16" s="526">
        <f t="shared" si="5"/>
        <v>280000</v>
      </c>
    </row>
    <row r="18" spans="1:2">
      <c r="A18" s="73" t="s">
        <v>616</v>
      </c>
    </row>
    <row r="19" spans="1:2">
      <c r="A19" s="81">
        <v>1</v>
      </c>
      <c r="B19" s="82" t="s">
        <v>912</v>
      </c>
    </row>
    <row r="20" spans="1:2">
      <c r="B20" s="80" t="s">
        <v>913</v>
      </c>
    </row>
    <row r="21" spans="1:2">
      <c r="A21" s="71">
        <v>2</v>
      </c>
      <c r="B21" s="71" t="s">
        <v>896</v>
      </c>
    </row>
    <row r="22" spans="1:2">
      <c r="B22" t="s">
        <v>914</v>
      </c>
    </row>
    <row r="23" spans="1:2">
      <c r="A23" s="71">
        <v>3</v>
      </c>
      <c r="B23" s="71" t="s">
        <v>201</v>
      </c>
    </row>
    <row r="24" spans="1:2">
      <c r="B24" t="s">
        <v>915</v>
      </c>
    </row>
    <row r="25" spans="1:2">
      <c r="A25" s="71">
        <v>4</v>
      </c>
      <c r="B25" s="71" t="s">
        <v>897</v>
      </c>
    </row>
    <row r="26" spans="1:2">
      <c r="B26" t="s">
        <v>916</v>
      </c>
    </row>
    <row r="27" spans="1:2">
      <c r="A27" s="71">
        <v>5</v>
      </c>
      <c r="B27" s="71" t="s">
        <v>74</v>
      </c>
    </row>
    <row r="28" spans="1:2">
      <c r="B28" t="s">
        <v>917</v>
      </c>
    </row>
    <row r="29" spans="1:2">
      <c r="B29" t="s">
        <v>918</v>
      </c>
    </row>
    <row r="30" spans="1:2">
      <c r="B30" t="s">
        <v>919</v>
      </c>
    </row>
    <row r="31" spans="1:2">
      <c r="A31" s="71">
        <v>6</v>
      </c>
      <c r="B31" s="71" t="s">
        <v>602</v>
      </c>
    </row>
    <row r="32" spans="1:2">
      <c r="B32" t="s">
        <v>920</v>
      </c>
    </row>
  </sheetData>
  <mergeCells count="14"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honeticPr fontId="5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41"/>
  <sheetViews>
    <sheetView topLeftCell="B1" workbookViewId="0">
      <selection activeCell="M13" sqref="M13"/>
    </sheetView>
  </sheetViews>
  <sheetFormatPr defaultRowHeight="13.2"/>
  <cols>
    <col min="2" max="2" width="16" bestFit="1" customWidth="1"/>
    <col min="3" max="3" width="13.109375" bestFit="1" customWidth="1"/>
    <col min="8" max="8" width="10.88671875" customWidth="1"/>
    <col min="9" max="9" width="12.6640625" customWidth="1"/>
    <col min="10" max="10" width="12.5546875" customWidth="1"/>
    <col min="11" max="11" width="13.109375" customWidth="1"/>
    <col min="12" max="12" width="12.88671875" customWidth="1"/>
    <col min="13" max="13" width="14.88671875" customWidth="1"/>
    <col min="14" max="14" width="14.5546875" customWidth="1"/>
    <col min="15" max="15" width="17.6640625" customWidth="1"/>
  </cols>
  <sheetData>
    <row r="1" spans="1:15">
      <c r="A1" s="586" t="s">
        <v>591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5">
      <c r="A2" s="586" t="s">
        <v>592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</row>
    <row r="3" spans="1:15">
      <c r="A3" s="586" t="s">
        <v>593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</row>
    <row r="4" spans="1:15" ht="13.8" thickBot="1">
      <c r="B4" s="13" t="s">
        <v>594</v>
      </c>
      <c r="C4" s="64">
        <f ca="1">NOW()</f>
        <v>46275.89495115741</v>
      </c>
    </row>
    <row r="5" spans="1:15">
      <c r="A5" s="587" t="s">
        <v>556</v>
      </c>
      <c r="B5" s="589" t="s">
        <v>102</v>
      </c>
      <c r="C5" s="589" t="s">
        <v>595</v>
      </c>
      <c r="D5" s="589" t="s">
        <v>596</v>
      </c>
      <c r="E5" s="589" t="s">
        <v>597</v>
      </c>
      <c r="F5" s="382" t="s">
        <v>598</v>
      </c>
      <c r="G5" s="382" t="s">
        <v>598</v>
      </c>
      <c r="H5" s="382" t="s">
        <v>599</v>
      </c>
      <c r="I5" s="589" t="s">
        <v>600</v>
      </c>
      <c r="J5" s="589" t="s">
        <v>70</v>
      </c>
      <c r="K5" s="591" t="s">
        <v>601</v>
      </c>
      <c r="L5" s="591"/>
      <c r="M5" s="589" t="s">
        <v>75</v>
      </c>
      <c r="N5" s="589" t="s">
        <v>74</v>
      </c>
      <c r="O5" s="592" t="s">
        <v>602</v>
      </c>
    </row>
    <row r="6" spans="1:15">
      <c r="A6" s="588"/>
      <c r="B6" s="590"/>
      <c r="C6" s="590"/>
      <c r="D6" s="590"/>
      <c r="E6" s="590"/>
      <c r="F6" s="383" t="s">
        <v>196</v>
      </c>
      <c r="G6" s="383" t="s">
        <v>603</v>
      </c>
      <c r="H6" s="383" t="s">
        <v>199</v>
      </c>
      <c r="I6" s="590"/>
      <c r="J6" s="590"/>
      <c r="K6" s="384" t="s">
        <v>604</v>
      </c>
      <c r="L6" s="383" t="s">
        <v>605</v>
      </c>
      <c r="M6" s="590"/>
      <c r="N6" s="590"/>
      <c r="O6" s="593"/>
    </row>
    <row r="7" spans="1:15">
      <c r="A7" s="387">
        <v>1</v>
      </c>
      <c r="B7" s="388" t="s">
        <v>606</v>
      </c>
      <c r="C7" s="389">
        <v>33095</v>
      </c>
      <c r="D7" s="390">
        <v>1</v>
      </c>
      <c r="E7" s="390" t="s">
        <v>255</v>
      </c>
      <c r="F7" s="527">
        <v>0.375</v>
      </c>
      <c r="G7" s="391">
        <v>0.70833333333333337</v>
      </c>
      <c r="H7" s="529">
        <f>G7-F7</f>
        <v>0.33333333333333337</v>
      </c>
      <c r="I7" s="530">
        <f ca="1">$C$4-C7</f>
        <v>13180.89495115741</v>
      </c>
      <c r="J7" s="531">
        <f>IF(D7=1,500000,IF(D7=2,550000,IF(D7=3,650000,700000)))</f>
        <v>500000</v>
      </c>
      <c r="K7" s="531">
        <f>IF(E7="K",100000,0)</f>
        <v>100000</v>
      </c>
      <c r="L7" s="531">
        <f>IF(D7=1,75000,IF(D7=2,100000,IF(D7=3,120000,150000)))</f>
        <v>75000</v>
      </c>
      <c r="M7" s="531">
        <f>J7+(K7+L7)</f>
        <v>675000</v>
      </c>
      <c r="N7" s="531">
        <f>5%*J7</f>
        <v>25000</v>
      </c>
      <c r="O7" s="532">
        <f>M7-N7</f>
        <v>650000</v>
      </c>
    </row>
    <row r="8" spans="1:15">
      <c r="A8" s="387">
        <v>2</v>
      </c>
      <c r="B8" s="388" t="s">
        <v>607</v>
      </c>
      <c r="C8" s="389">
        <v>32792</v>
      </c>
      <c r="D8" s="390">
        <v>2</v>
      </c>
      <c r="E8" s="390" t="s">
        <v>16</v>
      </c>
      <c r="F8" s="527">
        <v>0.375</v>
      </c>
      <c r="G8" s="391">
        <v>0.78125</v>
      </c>
      <c r="H8" s="529">
        <f>G8-F8</f>
        <v>0.40625</v>
      </c>
      <c r="I8" s="530">
        <f t="shared" ref="I8:I16" ca="1" si="0">$C$4-C8</f>
        <v>13483.89495115741</v>
      </c>
      <c r="J8" s="531">
        <f>IF(D8=1,500000,IF(D8=2,550000,IF(D8=3,650000,700000)))</f>
        <v>550000</v>
      </c>
      <c r="K8" s="531">
        <f>IF(E8="K",100000,0)</f>
        <v>0</v>
      </c>
      <c r="L8" s="531">
        <f>IF(D8=1,75000,IF(D8=2,100000,IF(D8=3,120000,150000)))</f>
        <v>100000</v>
      </c>
      <c r="M8" s="531">
        <f>J8+K8+L8</f>
        <v>650000</v>
      </c>
      <c r="N8" s="531">
        <f>5%*J8</f>
        <v>27500</v>
      </c>
      <c r="O8" s="532">
        <f>M8-N8</f>
        <v>622500</v>
      </c>
    </row>
    <row r="9" spans="1:15">
      <c r="A9" s="387">
        <v>3</v>
      </c>
      <c r="B9" s="388" t="s">
        <v>608</v>
      </c>
      <c r="C9" s="389">
        <v>31864</v>
      </c>
      <c r="D9" s="390">
        <v>1</v>
      </c>
      <c r="E9" s="390" t="s">
        <v>16</v>
      </c>
      <c r="F9" s="527">
        <v>0.375</v>
      </c>
      <c r="G9" s="391">
        <v>0.71875</v>
      </c>
      <c r="H9" s="529">
        <f>G9-F9</f>
        <v>0.34375</v>
      </c>
      <c r="I9" s="530">
        <f t="shared" ca="1" si="0"/>
        <v>14411.89495115741</v>
      </c>
      <c r="J9" s="531">
        <f t="shared" ref="J9:J16" si="1">IF(D9=1,500000,IF(D9=2,550000,IF(D9=3,650000,700000)))</f>
        <v>500000</v>
      </c>
      <c r="K9" s="531">
        <f t="shared" ref="K9:K16" si="2">IF(E9="K",100000,0)</f>
        <v>0</v>
      </c>
      <c r="L9" s="531">
        <f t="shared" ref="L9:L16" si="3">IF(D9=1,75000,IF(D9=2,100000,IF(D9=3,120000,150000)))</f>
        <v>75000</v>
      </c>
      <c r="M9" s="531">
        <f t="shared" ref="M9:M16" si="4">J9+K9+L9</f>
        <v>575000</v>
      </c>
      <c r="N9" s="531">
        <f t="shared" ref="N9:N15" si="5">5%*J9</f>
        <v>25000</v>
      </c>
      <c r="O9" s="532">
        <f t="shared" ref="O9:O16" si="6">M9-N9</f>
        <v>550000</v>
      </c>
    </row>
    <row r="10" spans="1:15">
      <c r="A10" s="387">
        <v>4</v>
      </c>
      <c r="B10" s="388" t="s">
        <v>609</v>
      </c>
      <c r="C10" s="389">
        <v>34819</v>
      </c>
      <c r="D10" s="390">
        <v>3</v>
      </c>
      <c r="E10" s="390" t="s">
        <v>255</v>
      </c>
      <c r="F10" s="527">
        <v>0.375</v>
      </c>
      <c r="G10" s="391">
        <v>0.85416666666666663</v>
      </c>
      <c r="H10" s="529">
        <f t="shared" ref="H10:H16" si="7">G10-F10</f>
        <v>0.47916666666666663</v>
      </c>
      <c r="I10" s="530">
        <f t="shared" ca="1" si="0"/>
        <v>11456.89495115741</v>
      </c>
      <c r="J10" s="531">
        <f t="shared" si="1"/>
        <v>650000</v>
      </c>
      <c r="K10" s="531">
        <f t="shared" si="2"/>
        <v>100000</v>
      </c>
      <c r="L10" s="531">
        <f t="shared" si="3"/>
        <v>120000</v>
      </c>
      <c r="M10" s="531">
        <f t="shared" si="4"/>
        <v>870000</v>
      </c>
      <c r="N10" s="531">
        <f t="shared" si="5"/>
        <v>32500</v>
      </c>
      <c r="O10" s="532">
        <f t="shared" si="6"/>
        <v>837500</v>
      </c>
    </row>
    <row r="11" spans="1:15">
      <c r="A11" s="387">
        <v>5</v>
      </c>
      <c r="B11" s="388" t="s">
        <v>610</v>
      </c>
      <c r="C11" s="389">
        <v>32027</v>
      </c>
      <c r="D11" s="390">
        <v>4</v>
      </c>
      <c r="E11" s="390" t="s">
        <v>255</v>
      </c>
      <c r="F11" s="527">
        <v>0.375</v>
      </c>
      <c r="G11" s="391">
        <v>0.86111111111111116</v>
      </c>
      <c r="H11" s="529">
        <f t="shared" si="7"/>
        <v>0.48611111111111116</v>
      </c>
      <c r="I11" s="530">
        <f t="shared" ca="1" si="0"/>
        <v>14248.89495115741</v>
      </c>
      <c r="J11" s="531">
        <f t="shared" si="1"/>
        <v>700000</v>
      </c>
      <c r="K11" s="531">
        <f t="shared" si="2"/>
        <v>100000</v>
      </c>
      <c r="L11" s="531">
        <f t="shared" si="3"/>
        <v>150000</v>
      </c>
      <c r="M11" s="531">
        <f t="shared" si="4"/>
        <v>950000</v>
      </c>
      <c r="N11" s="531">
        <f t="shared" si="5"/>
        <v>35000</v>
      </c>
      <c r="O11" s="532">
        <f t="shared" si="6"/>
        <v>915000</v>
      </c>
    </row>
    <row r="12" spans="1:15">
      <c r="A12" s="387">
        <v>6</v>
      </c>
      <c r="B12" s="388" t="s">
        <v>611</v>
      </c>
      <c r="C12" s="389">
        <v>31869</v>
      </c>
      <c r="D12" s="390">
        <v>3</v>
      </c>
      <c r="E12" s="390" t="s">
        <v>255</v>
      </c>
      <c r="F12" s="527">
        <v>0.375</v>
      </c>
      <c r="G12" s="391">
        <v>0.71180555555555547</v>
      </c>
      <c r="H12" s="529">
        <f t="shared" si="7"/>
        <v>0.33680555555555547</v>
      </c>
      <c r="I12" s="530">
        <f t="shared" ca="1" si="0"/>
        <v>14406.89495115741</v>
      </c>
      <c r="J12" s="531">
        <f t="shared" si="1"/>
        <v>650000</v>
      </c>
      <c r="K12" s="531">
        <f t="shared" si="2"/>
        <v>100000</v>
      </c>
      <c r="L12" s="531">
        <f t="shared" si="3"/>
        <v>120000</v>
      </c>
      <c r="M12" s="531">
        <f t="shared" si="4"/>
        <v>870000</v>
      </c>
      <c r="N12" s="531">
        <f t="shared" si="5"/>
        <v>32500</v>
      </c>
      <c r="O12" s="532">
        <f t="shared" si="6"/>
        <v>837500</v>
      </c>
    </row>
    <row r="13" spans="1:15">
      <c r="A13" s="387">
        <v>7</v>
      </c>
      <c r="B13" s="388" t="s">
        <v>612</v>
      </c>
      <c r="C13" s="389">
        <v>33065</v>
      </c>
      <c r="D13" s="390">
        <v>2</v>
      </c>
      <c r="E13" s="390" t="s">
        <v>16</v>
      </c>
      <c r="F13" s="527">
        <v>0.375</v>
      </c>
      <c r="G13" s="391">
        <v>0.72916666666666663</v>
      </c>
      <c r="H13" s="529">
        <f t="shared" si="7"/>
        <v>0.35416666666666663</v>
      </c>
      <c r="I13" s="530">
        <f t="shared" ca="1" si="0"/>
        <v>13210.89495115741</v>
      </c>
      <c r="J13" s="531">
        <f t="shared" si="1"/>
        <v>550000</v>
      </c>
      <c r="K13" s="531">
        <f t="shared" si="2"/>
        <v>0</v>
      </c>
      <c r="L13" s="531">
        <f t="shared" si="3"/>
        <v>100000</v>
      </c>
      <c r="M13" s="531">
        <f t="shared" si="4"/>
        <v>650000</v>
      </c>
      <c r="N13" s="531">
        <f t="shared" si="5"/>
        <v>27500</v>
      </c>
      <c r="O13" s="532">
        <f t="shared" si="6"/>
        <v>622500</v>
      </c>
    </row>
    <row r="14" spans="1:15">
      <c r="A14" s="387">
        <v>8</v>
      </c>
      <c r="B14" s="388" t="s">
        <v>613</v>
      </c>
      <c r="C14" s="389">
        <v>31391</v>
      </c>
      <c r="D14" s="390">
        <v>4</v>
      </c>
      <c r="E14" s="390" t="s">
        <v>255</v>
      </c>
      <c r="F14" s="527">
        <v>0.375</v>
      </c>
      <c r="G14" s="391">
        <v>0.75</v>
      </c>
      <c r="H14" s="529">
        <f t="shared" si="7"/>
        <v>0.375</v>
      </c>
      <c r="I14" s="530">
        <f t="shared" ca="1" si="0"/>
        <v>14884.89495115741</v>
      </c>
      <c r="J14" s="531">
        <f t="shared" si="1"/>
        <v>700000</v>
      </c>
      <c r="K14" s="531">
        <f t="shared" si="2"/>
        <v>100000</v>
      </c>
      <c r="L14" s="531">
        <f t="shared" si="3"/>
        <v>150000</v>
      </c>
      <c r="M14" s="531">
        <f t="shared" si="4"/>
        <v>950000</v>
      </c>
      <c r="N14" s="531">
        <f t="shared" si="5"/>
        <v>35000</v>
      </c>
      <c r="O14" s="532">
        <f t="shared" si="6"/>
        <v>915000</v>
      </c>
    </row>
    <row r="15" spans="1:15">
      <c r="A15" s="387">
        <v>9</v>
      </c>
      <c r="B15" s="388" t="s">
        <v>614</v>
      </c>
      <c r="C15" s="389">
        <v>33563</v>
      </c>
      <c r="D15" s="390">
        <v>2</v>
      </c>
      <c r="E15" s="390" t="s">
        <v>16</v>
      </c>
      <c r="F15" s="527">
        <v>0.375</v>
      </c>
      <c r="G15" s="391">
        <v>0.76041666666666663</v>
      </c>
      <c r="H15" s="529">
        <f t="shared" si="7"/>
        <v>0.38541666666666663</v>
      </c>
      <c r="I15" s="530">
        <f t="shared" ca="1" si="0"/>
        <v>12712.89495115741</v>
      </c>
      <c r="J15" s="531">
        <f t="shared" si="1"/>
        <v>550000</v>
      </c>
      <c r="K15" s="531">
        <f t="shared" si="2"/>
        <v>0</v>
      </c>
      <c r="L15" s="531">
        <f t="shared" si="3"/>
        <v>100000</v>
      </c>
      <c r="M15" s="531">
        <f t="shared" si="4"/>
        <v>650000</v>
      </c>
      <c r="N15" s="531">
        <f t="shared" si="5"/>
        <v>27500</v>
      </c>
      <c r="O15" s="532">
        <f t="shared" si="6"/>
        <v>622500</v>
      </c>
    </row>
    <row r="16" spans="1:15" ht="13.8" thickBot="1">
      <c r="A16" s="392">
        <v>10</v>
      </c>
      <c r="B16" s="393" t="s">
        <v>615</v>
      </c>
      <c r="C16" s="394">
        <v>32071</v>
      </c>
      <c r="D16" s="395">
        <v>1</v>
      </c>
      <c r="E16" s="395" t="s">
        <v>16</v>
      </c>
      <c r="F16" s="528">
        <v>0.375</v>
      </c>
      <c r="G16" s="396">
        <v>0.83333333333333337</v>
      </c>
      <c r="H16" s="529">
        <f t="shared" si="7"/>
        <v>0.45833333333333337</v>
      </c>
      <c r="I16" s="530">
        <f t="shared" ca="1" si="0"/>
        <v>14204.89495115741</v>
      </c>
      <c r="J16" s="531">
        <f t="shared" si="1"/>
        <v>500000</v>
      </c>
      <c r="K16" s="531">
        <f t="shared" si="2"/>
        <v>0</v>
      </c>
      <c r="L16" s="531">
        <f t="shared" si="3"/>
        <v>75000</v>
      </c>
      <c r="M16" s="531">
        <f t="shared" si="4"/>
        <v>575000</v>
      </c>
      <c r="N16" s="531">
        <f>5%*J16</f>
        <v>25000</v>
      </c>
      <c r="O16" s="532">
        <f t="shared" si="6"/>
        <v>550000</v>
      </c>
    </row>
    <row r="17" spans="1:15" ht="13.8" thickBot="1">
      <c r="N17" s="397" t="s">
        <v>635</v>
      </c>
      <c r="O17" s="533">
        <f>SUM(O7:O16)</f>
        <v>7122500</v>
      </c>
    </row>
    <row r="18" spans="1:15">
      <c r="A18" t="s">
        <v>616</v>
      </c>
    </row>
    <row r="19" spans="1:15">
      <c r="A19">
        <v>1</v>
      </c>
      <c r="B19" t="s">
        <v>617</v>
      </c>
    </row>
    <row r="20" spans="1:15">
      <c r="B20" t="s">
        <v>618</v>
      </c>
    </row>
    <row r="21" spans="1:15">
      <c r="A21">
        <v>2</v>
      </c>
      <c r="B21" t="s">
        <v>600</v>
      </c>
    </row>
    <row r="22" spans="1:15">
      <c r="B22" t="s">
        <v>619</v>
      </c>
    </row>
    <row r="23" spans="1:15">
      <c r="A23">
        <v>3</v>
      </c>
      <c r="B23" t="s">
        <v>70</v>
      </c>
    </row>
    <row r="24" spans="1:15">
      <c r="B24" t="s">
        <v>620</v>
      </c>
    </row>
    <row r="25" spans="1:15">
      <c r="B25" t="s">
        <v>621</v>
      </c>
    </row>
    <row r="26" spans="1:15">
      <c r="B26" t="s">
        <v>622</v>
      </c>
    </row>
    <row r="27" spans="1:15">
      <c r="B27" t="s">
        <v>623</v>
      </c>
    </row>
    <row r="28" spans="1:15">
      <c r="A28">
        <v>4</v>
      </c>
      <c r="B28" t="s">
        <v>624</v>
      </c>
    </row>
    <row r="29" spans="1:15">
      <c r="B29" t="s">
        <v>625</v>
      </c>
    </row>
    <row r="30" spans="1:15">
      <c r="B30" t="s">
        <v>626</v>
      </c>
    </row>
    <row r="31" spans="1:15">
      <c r="A31">
        <v>5</v>
      </c>
      <c r="B31" t="s">
        <v>627</v>
      </c>
    </row>
    <row r="32" spans="1:15">
      <c r="B32" t="s">
        <v>628</v>
      </c>
    </row>
    <row r="33" spans="1:2">
      <c r="B33" t="s">
        <v>629</v>
      </c>
    </row>
    <row r="34" spans="1:2">
      <c r="B34" t="s">
        <v>630</v>
      </c>
    </row>
    <row r="35" spans="1:2">
      <c r="B35" t="s">
        <v>631</v>
      </c>
    </row>
    <row r="36" spans="1:2">
      <c r="A36">
        <v>6</v>
      </c>
      <c r="B36" t="s">
        <v>75</v>
      </c>
    </row>
    <row r="37" spans="1:2">
      <c r="B37" s="65" t="s">
        <v>632</v>
      </c>
    </row>
    <row r="38" spans="1:2">
      <c r="A38">
        <v>7</v>
      </c>
      <c r="B38" t="s">
        <v>74</v>
      </c>
    </row>
    <row r="39" spans="1:2">
      <c r="B39" s="65" t="s">
        <v>633</v>
      </c>
    </row>
    <row r="40" spans="1:2">
      <c r="A40">
        <v>8</v>
      </c>
      <c r="B40" t="s">
        <v>602</v>
      </c>
    </row>
    <row r="41" spans="1:2">
      <c r="B41" s="65" t="s">
        <v>634</v>
      </c>
    </row>
  </sheetData>
  <mergeCells count="14">
    <mergeCell ref="A1:O1"/>
    <mergeCell ref="A2:O2"/>
    <mergeCell ref="A3:O3"/>
    <mergeCell ref="A5:A6"/>
    <mergeCell ref="B5:B6"/>
    <mergeCell ref="C5:C6"/>
    <mergeCell ref="D5:D6"/>
    <mergeCell ref="E5:E6"/>
    <mergeCell ref="I5:I6"/>
    <mergeCell ref="J5:J6"/>
    <mergeCell ref="K5:L5"/>
    <mergeCell ref="M5:M6"/>
    <mergeCell ref="N5:N6"/>
    <mergeCell ref="O5:O6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2"/>
  <sheetViews>
    <sheetView topLeftCell="A3" zoomScaleNormal="100" workbookViewId="0">
      <selection activeCell="H11" sqref="H11"/>
    </sheetView>
  </sheetViews>
  <sheetFormatPr defaultRowHeight="13.2"/>
  <cols>
    <col min="1" max="1" width="3.77734375" bestFit="1" customWidth="1"/>
    <col min="2" max="2" width="16.6640625" bestFit="1" customWidth="1"/>
    <col min="3" max="3" width="5" bestFit="1" customWidth="1"/>
    <col min="4" max="4" width="8.21875" bestFit="1" customWidth="1"/>
    <col min="5" max="5" width="10.88671875" bestFit="1" customWidth="1"/>
    <col min="6" max="9" width="16.6640625" bestFit="1" customWidth="1"/>
    <col min="10" max="10" width="15.6640625" bestFit="1" customWidth="1"/>
    <col min="11" max="11" width="16.6640625" bestFit="1" customWidth="1"/>
  </cols>
  <sheetData>
    <row r="1" spans="1:11" ht="17.399999999999999">
      <c r="A1" s="687" t="s">
        <v>636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</row>
    <row r="2" spans="1:11" ht="17.399999999999999">
      <c r="A2" s="687" t="s">
        <v>637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</row>
    <row r="3" spans="1:11" ht="17.399999999999999">
      <c r="A3" s="687" t="s">
        <v>638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</row>
    <row r="6" spans="1:11">
      <c r="A6" s="688" t="s">
        <v>556</v>
      </c>
      <c r="B6" s="688" t="s">
        <v>639</v>
      </c>
      <c r="C6" s="688" t="s">
        <v>640</v>
      </c>
      <c r="D6" s="688" t="s">
        <v>641</v>
      </c>
      <c r="E6" s="688" t="s">
        <v>642</v>
      </c>
      <c r="F6" s="688" t="s">
        <v>643</v>
      </c>
      <c r="G6" s="688" t="s">
        <v>644</v>
      </c>
      <c r="H6" s="688" t="s">
        <v>645</v>
      </c>
      <c r="I6" s="688" t="s">
        <v>646</v>
      </c>
      <c r="J6" s="688" t="s">
        <v>647</v>
      </c>
      <c r="K6" s="688" t="s">
        <v>648</v>
      </c>
    </row>
    <row r="7" spans="1:11" ht="13.8" thickBot="1">
      <c r="A7" s="689"/>
      <c r="B7" s="689"/>
      <c r="C7" s="689"/>
      <c r="D7" s="689"/>
      <c r="E7" s="689"/>
      <c r="F7" s="689"/>
      <c r="G7" s="689"/>
      <c r="H7" s="689"/>
      <c r="I7" s="689"/>
      <c r="J7" s="689"/>
      <c r="K7" s="689"/>
    </row>
    <row r="8" spans="1:11" ht="13.8" thickTop="1">
      <c r="A8" s="398">
        <v>1</v>
      </c>
      <c r="B8" s="398" t="s">
        <v>649</v>
      </c>
      <c r="C8" s="399" t="s">
        <v>650</v>
      </c>
      <c r="D8" s="399" t="s">
        <v>255</v>
      </c>
      <c r="E8" s="402" t="str">
        <f>IF(C8="I","Marketing",IF(C8="II","Administrasi","Direktur"))</f>
        <v>Marketing</v>
      </c>
      <c r="F8" s="736">
        <f>IF(E8="Marketing",25000000,IF(E8="Administrasi",30000000,50000000))</f>
        <v>25000000</v>
      </c>
      <c r="G8" s="736">
        <f>IF(D8="K",10000000,7500000)</f>
        <v>10000000</v>
      </c>
      <c r="H8" s="736">
        <f>IF(D8="K",15000000,0)</f>
        <v>15000000</v>
      </c>
      <c r="I8" s="736">
        <f>F8+G8+H8</f>
        <v>50000000</v>
      </c>
      <c r="J8" s="736">
        <f>IF(I8&gt;600000,5%*F8,1.5%*F8)</f>
        <v>1250000</v>
      </c>
      <c r="K8" s="736">
        <f>I8-J8</f>
        <v>48750000</v>
      </c>
    </row>
    <row r="9" spans="1:11">
      <c r="A9" s="400">
        <v>2</v>
      </c>
      <c r="B9" s="400" t="s">
        <v>651</v>
      </c>
      <c r="C9" s="401" t="s">
        <v>652</v>
      </c>
      <c r="D9" s="401" t="s">
        <v>255</v>
      </c>
      <c r="E9" s="402" t="str">
        <f t="shared" ref="E9:E17" si="0">IF(C9="I","Marketing",IF(C9="II","Administrasi","Direktur"))</f>
        <v>Administrasi</v>
      </c>
      <c r="F9" s="736">
        <f>IF(E9="Marketing",25000000,IF(E9="Administrasi",30000000,50000000))</f>
        <v>30000000</v>
      </c>
      <c r="G9" s="736">
        <f t="shared" ref="G9:G17" si="1">IF(D9="K",10000000,7500000)</f>
        <v>10000000</v>
      </c>
      <c r="H9" s="736">
        <f t="shared" ref="H9:H17" si="2">IF(D9="K",15000000,0)</f>
        <v>15000000</v>
      </c>
      <c r="I9" s="736">
        <f t="shared" ref="I9:I17" si="3">F9+G9+H9</f>
        <v>55000000</v>
      </c>
      <c r="J9" s="736">
        <f>IF(I9&gt;600000,F9*5%,1.5%*F9)</f>
        <v>1500000</v>
      </c>
      <c r="K9" s="737">
        <f>I9-J9</f>
        <v>53500000</v>
      </c>
    </row>
    <row r="10" spans="1:11">
      <c r="A10" s="400">
        <v>3</v>
      </c>
      <c r="B10" s="400" t="s">
        <v>653</v>
      </c>
      <c r="C10" s="401" t="s">
        <v>652</v>
      </c>
      <c r="D10" s="401" t="s">
        <v>16</v>
      </c>
      <c r="E10" s="402" t="str">
        <f t="shared" si="0"/>
        <v>Administrasi</v>
      </c>
      <c r="F10" s="736">
        <f>IF(E10="Marketing",25000000,IF(E10="Administrasi",30000000,50000000))</f>
        <v>30000000</v>
      </c>
      <c r="G10" s="736">
        <f t="shared" si="1"/>
        <v>7500000</v>
      </c>
      <c r="H10" s="736">
        <f t="shared" si="2"/>
        <v>0</v>
      </c>
      <c r="I10" s="736">
        <f t="shared" si="3"/>
        <v>37500000</v>
      </c>
      <c r="J10" s="736">
        <f t="shared" ref="J10:J17" si="4">IF(I10&gt;600000,F10*5%,1.5%*F10)</f>
        <v>1500000</v>
      </c>
      <c r="K10" s="737">
        <f t="shared" ref="K10:K17" si="5">I10-J10</f>
        <v>36000000</v>
      </c>
    </row>
    <row r="11" spans="1:11">
      <c r="A11" s="400">
        <v>4</v>
      </c>
      <c r="B11" s="400" t="s">
        <v>654</v>
      </c>
      <c r="C11" s="401" t="s">
        <v>650</v>
      </c>
      <c r="D11" s="401" t="s">
        <v>16</v>
      </c>
      <c r="E11" s="402" t="str">
        <f t="shared" si="0"/>
        <v>Marketing</v>
      </c>
      <c r="F11" s="736">
        <f t="shared" ref="F11:F17" si="6">IF(E11="Marketing",25000000,IF(E11="Administrasi",30000000,50000000))</f>
        <v>25000000</v>
      </c>
      <c r="G11" s="736">
        <f t="shared" si="1"/>
        <v>7500000</v>
      </c>
      <c r="H11" s="736">
        <f t="shared" si="2"/>
        <v>0</v>
      </c>
      <c r="I11" s="736">
        <f t="shared" si="3"/>
        <v>32500000</v>
      </c>
      <c r="J11" s="736">
        <f t="shared" si="4"/>
        <v>1250000</v>
      </c>
      <c r="K11" s="737">
        <f t="shared" si="5"/>
        <v>31250000</v>
      </c>
    </row>
    <row r="12" spans="1:11">
      <c r="A12" s="400">
        <v>5</v>
      </c>
      <c r="B12" s="400" t="s">
        <v>655</v>
      </c>
      <c r="C12" s="401" t="s">
        <v>650</v>
      </c>
      <c r="D12" s="401" t="s">
        <v>16</v>
      </c>
      <c r="E12" s="402" t="str">
        <f t="shared" si="0"/>
        <v>Marketing</v>
      </c>
      <c r="F12" s="736">
        <f t="shared" si="6"/>
        <v>25000000</v>
      </c>
      <c r="G12" s="736">
        <f t="shared" si="1"/>
        <v>7500000</v>
      </c>
      <c r="H12" s="736">
        <f t="shared" si="2"/>
        <v>0</v>
      </c>
      <c r="I12" s="736">
        <f t="shared" si="3"/>
        <v>32500000</v>
      </c>
      <c r="J12" s="736">
        <f t="shared" si="4"/>
        <v>1250000</v>
      </c>
      <c r="K12" s="737">
        <f t="shared" si="5"/>
        <v>31250000</v>
      </c>
    </row>
    <row r="13" spans="1:11">
      <c r="A13" s="400">
        <v>6</v>
      </c>
      <c r="B13" s="400" t="s">
        <v>656</v>
      </c>
      <c r="C13" s="401" t="s">
        <v>652</v>
      </c>
      <c r="D13" s="401" t="s">
        <v>16</v>
      </c>
      <c r="E13" s="402" t="str">
        <f t="shared" si="0"/>
        <v>Administrasi</v>
      </c>
      <c r="F13" s="736">
        <f t="shared" si="6"/>
        <v>30000000</v>
      </c>
      <c r="G13" s="736">
        <f t="shared" si="1"/>
        <v>7500000</v>
      </c>
      <c r="H13" s="736">
        <f t="shared" si="2"/>
        <v>0</v>
      </c>
      <c r="I13" s="736">
        <f t="shared" si="3"/>
        <v>37500000</v>
      </c>
      <c r="J13" s="736">
        <f t="shared" si="4"/>
        <v>1500000</v>
      </c>
      <c r="K13" s="737">
        <f t="shared" si="5"/>
        <v>36000000</v>
      </c>
    </row>
    <row r="14" spans="1:11">
      <c r="A14" s="400">
        <v>7</v>
      </c>
      <c r="B14" s="400" t="s">
        <v>657</v>
      </c>
      <c r="C14" s="401" t="s">
        <v>650</v>
      </c>
      <c r="D14" s="401" t="s">
        <v>255</v>
      </c>
      <c r="E14" s="402" t="str">
        <f t="shared" si="0"/>
        <v>Marketing</v>
      </c>
      <c r="F14" s="736">
        <f t="shared" si="6"/>
        <v>25000000</v>
      </c>
      <c r="G14" s="736">
        <f t="shared" si="1"/>
        <v>10000000</v>
      </c>
      <c r="H14" s="736">
        <f t="shared" si="2"/>
        <v>15000000</v>
      </c>
      <c r="I14" s="736">
        <f t="shared" si="3"/>
        <v>50000000</v>
      </c>
      <c r="J14" s="736">
        <f t="shared" si="4"/>
        <v>1250000</v>
      </c>
      <c r="K14" s="737">
        <f t="shared" si="5"/>
        <v>48750000</v>
      </c>
    </row>
    <row r="15" spans="1:11">
      <c r="A15" s="400">
        <v>8</v>
      </c>
      <c r="B15" s="400" t="s">
        <v>658</v>
      </c>
      <c r="C15" s="401" t="s">
        <v>650</v>
      </c>
      <c r="D15" s="401" t="s">
        <v>255</v>
      </c>
      <c r="E15" s="402" t="str">
        <f t="shared" si="0"/>
        <v>Marketing</v>
      </c>
      <c r="F15" s="736">
        <f t="shared" si="6"/>
        <v>25000000</v>
      </c>
      <c r="G15" s="736">
        <f t="shared" si="1"/>
        <v>10000000</v>
      </c>
      <c r="H15" s="736">
        <f t="shared" si="2"/>
        <v>15000000</v>
      </c>
      <c r="I15" s="736">
        <f t="shared" si="3"/>
        <v>50000000</v>
      </c>
      <c r="J15" s="736">
        <f t="shared" si="4"/>
        <v>1250000</v>
      </c>
      <c r="K15" s="737">
        <f t="shared" si="5"/>
        <v>48750000</v>
      </c>
    </row>
    <row r="16" spans="1:11">
      <c r="A16" s="400">
        <v>9</v>
      </c>
      <c r="B16" s="400" t="s">
        <v>612</v>
      </c>
      <c r="C16" s="401" t="s">
        <v>659</v>
      </c>
      <c r="D16" s="401" t="s">
        <v>16</v>
      </c>
      <c r="E16" s="402" t="str">
        <f t="shared" si="0"/>
        <v>Direktur</v>
      </c>
      <c r="F16" s="736">
        <f t="shared" si="6"/>
        <v>50000000</v>
      </c>
      <c r="G16" s="736">
        <f t="shared" si="1"/>
        <v>7500000</v>
      </c>
      <c r="H16" s="736">
        <f t="shared" si="2"/>
        <v>0</v>
      </c>
      <c r="I16" s="736">
        <f t="shared" si="3"/>
        <v>57500000</v>
      </c>
      <c r="J16" s="736">
        <f t="shared" si="4"/>
        <v>2500000</v>
      </c>
      <c r="K16" s="737">
        <f t="shared" si="5"/>
        <v>55000000</v>
      </c>
    </row>
    <row r="17" spans="1:11">
      <c r="A17" s="400">
        <v>10</v>
      </c>
      <c r="B17" s="400" t="s">
        <v>612</v>
      </c>
      <c r="C17" s="401" t="s">
        <v>650</v>
      </c>
      <c r="D17" s="401" t="s">
        <v>255</v>
      </c>
      <c r="E17" s="402" t="str">
        <f t="shared" si="0"/>
        <v>Marketing</v>
      </c>
      <c r="F17" s="736">
        <f t="shared" si="6"/>
        <v>25000000</v>
      </c>
      <c r="G17" s="736">
        <f t="shared" si="1"/>
        <v>10000000</v>
      </c>
      <c r="H17" s="736">
        <f t="shared" si="2"/>
        <v>15000000</v>
      </c>
      <c r="I17" s="736">
        <f t="shared" si="3"/>
        <v>50000000</v>
      </c>
      <c r="J17" s="736">
        <f t="shared" si="4"/>
        <v>1250000</v>
      </c>
      <c r="K17" s="737">
        <f t="shared" si="5"/>
        <v>48750000</v>
      </c>
    </row>
    <row r="19" spans="1:11">
      <c r="B19" t="s">
        <v>660</v>
      </c>
    </row>
    <row r="20" spans="1:11">
      <c r="A20" s="13">
        <v>1</v>
      </c>
      <c r="B20" s="13" t="s">
        <v>597</v>
      </c>
    </row>
    <row r="21" spans="1:11">
      <c r="B21" t="s">
        <v>661</v>
      </c>
      <c r="C21" t="s">
        <v>662</v>
      </c>
    </row>
    <row r="22" spans="1:11">
      <c r="A22" s="13">
        <v>2</v>
      </c>
      <c r="B22" s="13" t="s">
        <v>69</v>
      </c>
    </row>
    <row r="23" spans="1:11">
      <c r="B23" t="s">
        <v>663</v>
      </c>
    </row>
    <row r="24" spans="1:11">
      <c r="B24" t="s">
        <v>664</v>
      </c>
    </row>
    <row r="25" spans="1:11">
      <c r="B25" t="s">
        <v>665</v>
      </c>
    </row>
    <row r="26" spans="1:11">
      <c r="A26" s="13">
        <v>3</v>
      </c>
      <c r="B26" s="13" t="s">
        <v>70</v>
      </c>
    </row>
    <row r="27" spans="1:11">
      <c r="B27" t="s">
        <v>666</v>
      </c>
    </row>
    <row r="28" spans="1:11">
      <c r="B28" t="s">
        <v>668</v>
      </c>
    </row>
    <row r="29" spans="1:11">
      <c r="B29" t="s">
        <v>667</v>
      </c>
    </row>
    <row r="30" spans="1:11">
      <c r="A30" s="13">
        <v>4</v>
      </c>
      <c r="B30" s="13" t="s">
        <v>627</v>
      </c>
    </row>
    <row r="31" spans="1:11">
      <c r="B31" t="s">
        <v>669</v>
      </c>
    </row>
    <row r="32" spans="1:11">
      <c r="B32" t="s">
        <v>670</v>
      </c>
    </row>
    <row r="33" spans="1:2">
      <c r="A33" s="13">
        <v>5</v>
      </c>
      <c r="B33" s="13" t="s">
        <v>671</v>
      </c>
    </row>
    <row r="34" spans="1:2">
      <c r="B34" t="s">
        <v>672</v>
      </c>
    </row>
    <row r="35" spans="1:2">
      <c r="B35" t="s">
        <v>673</v>
      </c>
    </row>
    <row r="36" spans="1:2">
      <c r="A36" s="13">
        <v>6</v>
      </c>
      <c r="B36" s="13" t="s">
        <v>674</v>
      </c>
    </row>
    <row r="37" spans="1:2">
      <c r="B37" t="s">
        <v>675</v>
      </c>
    </row>
    <row r="38" spans="1:2">
      <c r="A38" s="13">
        <v>7</v>
      </c>
      <c r="B38" s="13" t="s">
        <v>511</v>
      </c>
    </row>
    <row r="39" spans="1:2">
      <c r="B39" t="s">
        <v>676</v>
      </c>
    </row>
    <row r="40" spans="1:2">
      <c r="B40" t="s">
        <v>677</v>
      </c>
    </row>
    <row r="41" spans="1:2">
      <c r="A41" s="13">
        <v>8</v>
      </c>
      <c r="B41" s="13" t="s">
        <v>75</v>
      </c>
    </row>
    <row r="42" spans="1:2">
      <c r="B42" s="65" t="s">
        <v>678</v>
      </c>
    </row>
  </sheetData>
  <mergeCells count="14">
    <mergeCell ref="A1:K1"/>
    <mergeCell ref="A2:K2"/>
    <mergeCell ref="A3:K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8"/>
  <sheetViews>
    <sheetView topLeftCell="A5" workbookViewId="0">
      <selection activeCell="G26" sqref="G26"/>
    </sheetView>
  </sheetViews>
  <sheetFormatPr defaultRowHeight="13.2"/>
  <cols>
    <col min="1" max="1" width="13.6640625" bestFit="1" customWidth="1"/>
    <col min="2" max="2" width="6.6640625" bestFit="1" customWidth="1"/>
    <col min="3" max="3" width="11.6640625" bestFit="1" customWidth="1"/>
    <col min="4" max="4" width="11.88671875" customWidth="1"/>
    <col min="5" max="5" width="17.44140625" bestFit="1" customWidth="1"/>
    <col min="6" max="6" width="16.33203125" bestFit="1" customWidth="1"/>
    <col min="7" max="7" width="15.5546875" customWidth="1"/>
    <col min="8" max="8" width="23.44140625" customWidth="1"/>
  </cols>
  <sheetData>
    <row r="1" spans="1:8" ht="21">
      <c r="A1" s="654" t="s">
        <v>781</v>
      </c>
      <c r="B1" s="654"/>
      <c r="C1" s="654"/>
      <c r="D1" s="654"/>
      <c r="E1" s="654"/>
      <c r="F1" s="654"/>
      <c r="G1" s="654"/>
      <c r="H1" s="654"/>
    </row>
    <row r="2" spans="1:8" ht="21">
      <c r="A2" s="654" t="s">
        <v>782</v>
      </c>
      <c r="B2" s="654"/>
      <c r="C2" s="654"/>
      <c r="D2" s="654"/>
      <c r="E2" s="654"/>
      <c r="F2" s="654"/>
      <c r="G2" s="654"/>
      <c r="H2" s="654"/>
    </row>
    <row r="5" spans="1:8" ht="13.8" thickBot="1"/>
    <row r="6" spans="1:8" ht="13.5" customHeight="1" thickTop="1">
      <c r="A6" s="690" t="s">
        <v>783</v>
      </c>
      <c r="B6" s="693" t="s">
        <v>803</v>
      </c>
      <c r="C6" s="695" t="s">
        <v>804</v>
      </c>
      <c r="D6" s="695" t="s">
        <v>805</v>
      </c>
      <c r="E6" s="692" t="s">
        <v>784</v>
      </c>
      <c r="F6" s="692" t="s">
        <v>785</v>
      </c>
      <c r="G6" s="695" t="s">
        <v>806</v>
      </c>
      <c r="H6" s="403" t="s">
        <v>330</v>
      </c>
    </row>
    <row r="7" spans="1:8" ht="13.8" thickBot="1">
      <c r="A7" s="691"/>
      <c r="B7" s="694"/>
      <c r="C7" s="696" t="s">
        <v>786</v>
      </c>
      <c r="D7" s="738"/>
      <c r="E7" s="739"/>
      <c r="F7" s="739"/>
      <c r="G7" s="738"/>
      <c r="H7" s="740" t="s">
        <v>787</v>
      </c>
    </row>
    <row r="8" spans="1:8" ht="13.8" thickTop="1">
      <c r="A8" s="404" t="s">
        <v>788</v>
      </c>
      <c r="B8" s="405" t="s">
        <v>789</v>
      </c>
      <c r="C8" s="405">
        <v>4</v>
      </c>
      <c r="D8" s="258" t="str">
        <f>IF(B8="MK","KIJANG",IF(B8="MD","DAIHATSU","SUZUKI"))</f>
        <v>KIJANG</v>
      </c>
      <c r="E8" s="741">
        <f>IF(B8="MK",250000000,IF(B8="""MD",350000000,400000000))</f>
        <v>250000000</v>
      </c>
      <c r="F8" s="741">
        <f>IF(B8="MK",10%*E8,IF(B8="MD",15%*E8,18%*E8))</f>
        <v>25000000</v>
      </c>
      <c r="G8" s="742">
        <f>IF(C8&gt;5,5%*E8,0%*E8)</f>
        <v>0</v>
      </c>
      <c r="H8" s="741">
        <f>((E8+F8)*C8)-G8</f>
        <v>1100000000</v>
      </c>
    </row>
    <row r="9" spans="1:8">
      <c r="A9" s="404" t="s">
        <v>790</v>
      </c>
      <c r="B9" s="405" t="s">
        <v>791</v>
      </c>
      <c r="C9" s="405">
        <v>3</v>
      </c>
      <c r="D9" s="258" t="str">
        <f>IF(B9="MD","DAIHATSU",IF(B9="MK","KIJANG","SUZUKI"))</f>
        <v>DAIHATSU</v>
      </c>
      <c r="E9" s="741">
        <f>IF(B9="MK",250000000,IF(B9="MD",350000000,400000000))</f>
        <v>350000000</v>
      </c>
      <c r="F9" s="741">
        <f>IF(B9="MK",E9*10%,IF(B9="MD",E9*15%,E9*18%))</f>
        <v>52500000</v>
      </c>
      <c r="G9" s="742">
        <f t="shared" ref="G9:G16" si="0">IF(C9&gt;5,5%*E9,0%*E9)</f>
        <v>0</v>
      </c>
      <c r="H9" s="741">
        <f t="shared" ref="H9:H16" si="1">((E9+F9)*C9)-G9</f>
        <v>1207500000</v>
      </c>
    </row>
    <row r="10" spans="1:8">
      <c r="A10" s="404" t="s">
        <v>792</v>
      </c>
      <c r="B10" s="405" t="s">
        <v>793</v>
      </c>
      <c r="C10" s="405">
        <v>5</v>
      </c>
      <c r="D10" s="258" t="str">
        <f t="shared" ref="D10:D16" si="2">IF(B10="MK","KIJANG",IF(B10="MD","DAIHATSU","SUZUKI"))</f>
        <v>SUZUKI</v>
      </c>
      <c r="E10" s="741">
        <f t="shared" ref="E10:E16" si="3">IF(B10="MK",250000000,IF(B10="MD",350000000,400000000))</f>
        <v>400000000</v>
      </c>
      <c r="F10" s="741">
        <f t="shared" ref="F10:F16" si="4">IF(B10="MK",10%*E10,IF(B10="MD",15%*E10,18%*E10))</f>
        <v>72000000</v>
      </c>
      <c r="G10" s="742">
        <f t="shared" si="0"/>
        <v>0</v>
      </c>
      <c r="H10" s="741">
        <f t="shared" si="1"/>
        <v>2360000000</v>
      </c>
    </row>
    <row r="11" spans="1:8">
      <c r="A11" s="404" t="s">
        <v>794</v>
      </c>
      <c r="B11" s="405" t="s">
        <v>793</v>
      </c>
      <c r="C11" s="405">
        <v>4</v>
      </c>
      <c r="D11" s="258" t="str">
        <f t="shared" si="2"/>
        <v>SUZUKI</v>
      </c>
      <c r="E11" s="741">
        <f t="shared" si="3"/>
        <v>400000000</v>
      </c>
      <c r="F11" s="741">
        <f t="shared" si="4"/>
        <v>72000000</v>
      </c>
      <c r="G11" s="742">
        <f t="shared" si="0"/>
        <v>0</v>
      </c>
      <c r="H11" s="741">
        <f t="shared" si="1"/>
        <v>1888000000</v>
      </c>
    </row>
    <row r="12" spans="1:8">
      <c r="A12" s="404" t="s">
        <v>795</v>
      </c>
      <c r="B12" s="405" t="s">
        <v>789</v>
      </c>
      <c r="C12" s="405">
        <v>6</v>
      </c>
      <c r="D12" s="258" t="str">
        <f t="shared" si="2"/>
        <v>KIJANG</v>
      </c>
      <c r="E12" s="741">
        <f t="shared" si="3"/>
        <v>250000000</v>
      </c>
      <c r="F12" s="741">
        <f t="shared" si="4"/>
        <v>25000000</v>
      </c>
      <c r="G12" s="742">
        <f t="shared" si="0"/>
        <v>12500000</v>
      </c>
      <c r="H12" s="741">
        <f t="shared" si="1"/>
        <v>1637500000</v>
      </c>
    </row>
    <row r="13" spans="1:8">
      <c r="A13" s="404" t="s">
        <v>796</v>
      </c>
      <c r="B13" s="405" t="s">
        <v>791</v>
      </c>
      <c r="C13" s="405">
        <v>9</v>
      </c>
      <c r="D13" s="258" t="str">
        <f t="shared" si="2"/>
        <v>DAIHATSU</v>
      </c>
      <c r="E13" s="741">
        <f t="shared" si="3"/>
        <v>350000000</v>
      </c>
      <c r="F13" s="741">
        <f t="shared" si="4"/>
        <v>52500000</v>
      </c>
      <c r="G13" s="742">
        <f t="shared" si="0"/>
        <v>17500000</v>
      </c>
      <c r="H13" s="741">
        <f t="shared" si="1"/>
        <v>3605000000</v>
      </c>
    </row>
    <row r="14" spans="1:8">
      <c r="A14" s="404" t="s">
        <v>797</v>
      </c>
      <c r="B14" s="405" t="s">
        <v>793</v>
      </c>
      <c r="C14" s="405">
        <v>2</v>
      </c>
      <c r="D14" s="258" t="str">
        <f t="shared" si="2"/>
        <v>SUZUKI</v>
      </c>
      <c r="E14" s="741">
        <f t="shared" si="3"/>
        <v>400000000</v>
      </c>
      <c r="F14" s="741">
        <f t="shared" si="4"/>
        <v>72000000</v>
      </c>
      <c r="G14" s="742">
        <f t="shared" si="0"/>
        <v>0</v>
      </c>
      <c r="H14" s="741">
        <f t="shared" si="1"/>
        <v>944000000</v>
      </c>
    </row>
    <row r="15" spans="1:8">
      <c r="A15" s="404" t="s">
        <v>798</v>
      </c>
      <c r="B15" s="405" t="s">
        <v>789</v>
      </c>
      <c r="C15" s="405">
        <v>6</v>
      </c>
      <c r="D15" s="258" t="str">
        <f t="shared" si="2"/>
        <v>KIJANG</v>
      </c>
      <c r="E15" s="741">
        <f t="shared" si="3"/>
        <v>250000000</v>
      </c>
      <c r="F15" s="741">
        <f t="shared" si="4"/>
        <v>25000000</v>
      </c>
      <c r="G15" s="742">
        <f t="shared" si="0"/>
        <v>12500000</v>
      </c>
      <c r="H15" s="741">
        <f t="shared" si="1"/>
        <v>1637500000</v>
      </c>
    </row>
    <row r="16" spans="1:8" ht="13.8" thickBot="1">
      <c r="A16" s="406" t="s">
        <v>799</v>
      </c>
      <c r="B16" s="407" t="s">
        <v>791</v>
      </c>
      <c r="C16" s="407">
        <v>7</v>
      </c>
      <c r="D16" s="258" t="str">
        <f t="shared" si="2"/>
        <v>DAIHATSU</v>
      </c>
      <c r="E16" s="741">
        <f t="shared" si="3"/>
        <v>350000000</v>
      </c>
      <c r="F16" s="741">
        <f t="shared" si="4"/>
        <v>52500000</v>
      </c>
      <c r="G16" s="742">
        <f t="shared" si="0"/>
        <v>17500000</v>
      </c>
      <c r="H16" s="741">
        <f t="shared" si="1"/>
        <v>2800000000</v>
      </c>
    </row>
    <row r="17" spans="1:8" ht="13.8" thickTop="1">
      <c r="G17" s="404" t="s">
        <v>30</v>
      </c>
      <c r="H17" s="539">
        <f>SUM(H8:H16)</f>
        <v>17179500000</v>
      </c>
    </row>
    <row r="18" spans="1:8">
      <c r="G18" s="404" t="s">
        <v>800</v>
      </c>
      <c r="H18" s="539">
        <f>MAX(H8:H16)</f>
        <v>3605000000</v>
      </c>
    </row>
    <row r="19" spans="1:8">
      <c r="G19" s="404" t="s">
        <v>801</v>
      </c>
      <c r="H19" s="539">
        <f>MIN(H8:H16)</f>
        <v>944000000</v>
      </c>
    </row>
    <row r="20" spans="1:8" ht="13.8" thickBot="1">
      <c r="G20" s="406" t="s">
        <v>802</v>
      </c>
      <c r="H20" s="540">
        <f>AVERAGE(H8:H16)</f>
        <v>1908833333.3333333</v>
      </c>
    </row>
    <row r="21" spans="1:8" ht="13.8" thickTop="1">
      <c r="A21" s="69" t="s">
        <v>616</v>
      </c>
    </row>
    <row r="22" spans="1:8" s="74" customFormat="1">
      <c r="A22" s="70">
        <v>1</v>
      </c>
      <c r="B22" s="70" t="s">
        <v>805</v>
      </c>
    </row>
    <row r="23" spans="1:8">
      <c r="B23" t="s">
        <v>811</v>
      </c>
    </row>
    <row r="24" spans="1:8">
      <c r="B24" t="s">
        <v>812</v>
      </c>
    </row>
    <row r="25" spans="1:8">
      <c r="B25" t="s">
        <v>813</v>
      </c>
    </row>
    <row r="26" spans="1:8" s="74" customFormat="1">
      <c r="A26" s="70">
        <v>2</v>
      </c>
      <c r="B26" s="70" t="s">
        <v>784</v>
      </c>
    </row>
    <row r="27" spans="1:8">
      <c r="B27" t="s">
        <v>814</v>
      </c>
    </row>
    <row r="28" spans="1:8">
      <c r="B28" t="s">
        <v>815</v>
      </c>
    </row>
    <row r="29" spans="1:8">
      <c r="B29" t="s">
        <v>816</v>
      </c>
    </row>
    <row r="30" spans="1:8" s="74" customFormat="1">
      <c r="A30" s="70">
        <v>3</v>
      </c>
      <c r="B30" s="70" t="s">
        <v>785</v>
      </c>
    </row>
    <row r="31" spans="1:8">
      <c r="B31" t="s">
        <v>817</v>
      </c>
    </row>
    <row r="32" spans="1:8">
      <c r="B32" t="s">
        <v>818</v>
      </c>
    </row>
    <row r="33" spans="1:2">
      <c r="B33" t="s">
        <v>819</v>
      </c>
    </row>
    <row r="34" spans="1:2" s="74" customFormat="1">
      <c r="A34" s="70">
        <v>4</v>
      </c>
      <c r="B34" s="70" t="s">
        <v>563</v>
      </c>
    </row>
    <row r="35" spans="1:2">
      <c r="B35" t="s">
        <v>809</v>
      </c>
    </row>
    <row r="36" spans="1:2">
      <c r="B36" t="s">
        <v>810</v>
      </c>
    </row>
    <row r="37" spans="1:2" s="74" customFormat="1">
      <c r="A37" s="70">
        <v>5</v>
      </c>
      <c r="B37" s="70" t="s">
        <v>807</v>
      </c>
    </row>
    <row r="38" spans="1:2">
      <c r="B38" s="65" t="s">
        <v>808</v>
      </c>
    </row>
  </sheetData>
  <mergeCells count="9">
    <mergeCell ref="A1:H1"/>
    <mergeCell ref="A2:H2"/>
    <mergeCell ref="A6:A7"/>
    <mergeCell ref="E6:E7"/>
    <mergeCell ref="F6:F7"/>
    <mergeCell ref="B6:B7"/>
    <mergeCell ref="C6:C7"/>
    <mergeCell ref="D6:D7"/>
    <mergeCell ref="G6:G7"/>
  </mergeCells>
  <phoneticPr fontId="5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9"/>
  <sheetViews>
    <sheetView zoomScale="84" zoomScaleNormal="84" workbookViewId="0">
      <selection activeCell="A16" sqref="A16"/>
    </sheetView>
  </sheetViews>
  <sheetFormatPr defaultRowHeight="13.2"/>
  <cols>
    <col min="1" max="1" width="5" customWidth="1"/>
    <col min="2" max="2" width="14.109375" bestFit="1" customWidth="1"/>
    <col min="4" max="4" width="10.5546875" bestFit="1" customWidth="1"/>
    <col min="9" max="9" width="10.33203125" customWidth="1"/>
    <col min="10" max="10" width="13.33203125" customWidth="1"/>
  </cols>
  <sheetData>
    <row r="1" spans="1:10">
      <c r="A1" s="586" t="s">
        <v>732</v>
      </c>
      <c r="B1" s="586"/>
      <c r="C1" s="586"/>
      <c r="D1" s="586"/>
      <c r="E1" s="586"/>
      <c r="F1" s="586"/>
      <c r="G1" s="586"/>
      <c r="H1" s="586"/>
      <c r="I1" s="586"/>
      <c r="J1" s="586"/>
    </row>
    <row r="2" spans="1:10">
      <c r="A2" s="586" t="s">
        <v>733</v>
      </c>
      <c r="B2" s="586"/>
      <c r="C2" s="586"/>
      <c r="D2" s="586"/>
      <c r="E2" s="586"/>
      <c r="F2" s="586"/>
      <c r="G2" s="586"/>
      <c r="H2" s="586"/>
      <c r="I2" s="586"/>
      <c r="J2" s="586"/>
    </row>
    <row r="3" spans="1:10">
      <c r="A3" s="586" t="s">
        <v>32</v>
      </c>
      <c r="B3" s="586"/>
      <c r="C3" s="586"/>
      <c r="D3" s="586"/>
      <c r="E3" s="586"/>
      <c r="F3" s="586"/>
      <c r="G3" s="586"/>
      <c r="H3" s="586"/>
      <c r="I3" s="586"/>
      <c r="J3" s="586"/>
    </row>
    <row r="4" spans="1:10" ht="13.8" thickBot="1"/>
    <row r="5" spans="1:10">
      <c r="A5" s="697" t="s">
        <v>556</v>
      </c>
      <c r="B5" s="699" t="s">
        <v>331</v>
      </c>
      <c r="C5" s="701" t="s">
        <v>734</v>
      </c>
      <c r="D5" s="699" t="s">
        <v>735</v>
      </c>
      <c r="E5" s="699" t="s">
        <v>736</v>
      </c>
      <c r="F5" s="699" t="s">
        <v>737</v>
      </c>
      <c r="G5" s="701" t="s">
        <v>738</v>
      </c>
      <c r="H5" s="701" t="s">
        <v>739</v>
      </c>
      <c r="I5" s="701" t="s">
        <v>740</v>
      </c>
      <c r="J5" s="703" t="s">
        <v>741</v>
      </c>
    </row>
    <row r="6" spans="1:10">
      <c r="A6" s="698"/>
      <c r="B6" s="700"/>
      <c r="C6" s="702" t="s">
        <v>742</v>
      </c>
      <c r="D6" s="700"/>
      <c r="E6" s="700"/>
      <c r="F6" s="700"/>
      <c r="G6" s="702"/>
      <c r="H6" s="702"/>
      <c r="I6" s="702"/>
      <c r="J6" s="704"/>
    </row>
    <row r="7" spans="1:10">
      <c r="A7" s="408">
        <v>1</v>
      </c>
      <c r="B7" s="333" t="s">
        <v>743</v>
      </c>
      <c r="C7" s="337" t="s">
        <v>744</v>
      </c>
      <c r="D7" s="15" t="str">
        <f>IF(RIGHT(C7,1)="D","Double","Single")</f>
        <v>Double</v>
      </c>
      <c r="E7" s="15" t="str">
        <f>IF(LEFT(C7,1)="V","VIP",IF(LEFT(C7,1)="F","Family","Suitroom"))</f>
        <v>VIP</v>
      </c>
      <c r="F7" s="15" t="str">
        <f>IF(MID(C7,2,1)="1","Lantai 1",IF(MID(C7,2,1)="2","Lantai 2","Lantai 3"))</f>
        <v>Lantai 3</v>
      </c>
      <c r="G7" s="337">
        <v>11</v>
      </c>
      <c r="H7" s="15">
        <f>IF(E7="VIP",350000,IF(E7="Family",250000,75000))</f>
        <v>350000</v>
      </c>
      <c r="I7" s="15">
        <f>IF(D7="Double",5%*H7,0*H7)</f>
        <v>17500</v>
      </c>
      <c r="J7" s="16">
        <f>H7+I7</f>
        <v>367500</v>
      </c>
    </row>
    <row r="8" spans="1:10">
      <c r="A8" s="408">
        <v>2</v>
      </c>
      <c r="B8" s="333" t="s">
        <v>745</v>
      </c>
      <c r="C8" s="337" t="s">
        <v>746</v>
      </c>
      <c r="D8" s="15" t="str">
        <f>IF(RIGHT(C8,1)="D","Double","Single")</f>
        <v>Single</v>
      </c>
      <c r="E8" s="15" t="str">
        <f>IF(LEFT(C8,1)="V","VIP",IF(LEFT(C8,1)="F","Family","Suitroom"))</f>
        <v>Family</v>
      </c>
      <c r="F8" s="15" t="str">
        <f>IF(MID(C8,2,1)="1","Lantai 1",IF(MID(C8,2,1)="2","Lantai 2","Lantai 3"))</f>
        <v>Lantai 2</v>
      </c>
      <c r="G8" s="337">
        <v>2</v>
      </c>
      <c r="H8" s="15">
        <f>IF(E8="VIP",350000,IF(E8="Family",250000,75000))</f>
        <v>250000</v>
      </c>
      <c r="I8" s="15">
        <f>IF(D8="Double",5%*H8,0*H8)</f>
        <v>0</v>
      </c>
      <c r="J8" s="16">
        <f t="shared" ref="J8:J16" si="0">H8+I8</f>
        <v>250000</v>
      </c>
    </row>
    <row r="9" spans="1:10">
      <c r="A9" s="408">
        <v>3</v>
      </c>
      <c r="B9" s="333" t="s">
        <v>747</v>
      </c>
      <c r="C9" s="337" t="s">
        <v>748</v>
      </c>
      <c r="D9" s="15" t="str">
        <f>IF(RIGHT(C9,1)="D","Double","Single")</f>
        <v>Single</v>
      </c>
      <c r="E9" s="15" t="str">
        <f t="shared" ref="E9:E16" si="1">IF(LEFT(C9,1)="V","VIP",IF(LEFT(C9,1)="F","Family","Suitroom"))</f>
        <v>Family</v>
      </c>
      <c r="F9" s="15" t="str">
        <f>IF(MID(C9,2,1)="1","Lantai 1",IF(MID(C9,2,1)="2","Lantai 2","Lantai 3"))</f>
        <v>Lantai 3</v>
      </c>
      <c r="G9" s="337">
        <v>9</v>
      </c>
      <c r="H9" s="15">
        <f t="shared" ref="H9:H16" si="2">IF(E9="VIP",350000,IF(E9="Family",250000,75000))</f>
        <v>250000</v>
      </c>
      <c r="I9" s="15">
        <f>IF(D9="Double",5%*H9,0*H9)</f>
        <v>0</v>
      </c>
      <c r="J9" s="16">
        <f t="shared" si="0"/>
        <v>250000</v>
      </c>
    </row>
    <row r="10" spans="1:10">
      <c r="A10" s="408">
        <v>4</v>
      </c>
      <c r="B10" s="333" t="s">
        <v>749</v>
      </c>
      <c r="C10" s="337" t="s">
        <v>750</v>
      </c>
      <c r="D10" s="15" t="str">
        <f>IF(RIGHT(C10,1)="D","Double","Single")</f>
        <v>Double</v>
      </c>
      <c r="E10" s="15" t="str">
        <f t="shared" si="1"/>
        <v>Suitroom</v>
      </c>
      <c r="F10" s="15" t="str">
        <f t="shared" ref="F10:F16" si="3">IF(MID(C10,2,1)="1","Lantai 1",IF(MID(C10,2,1)="2","Lantai 2","Lantai 3"))</f>
        <v>Lantai 2</v>
      </c>
      <c r="G10" s="337">
        <v>8</v>
      </c>
      <c r="H10" s="15">
        <f t="shared" si="2"/>
        <v>75000</v>
      </c>
      <c r="I10" s="15">
        <f>IF(D10="Double",5%*H10,0*H10)</f>
        <v>3750</v>
      </c>
      <c r="J10" s="16">
        <f t="shared" si="0"/>
        <v>78750</v>
      </c>
    </row>
    <row r="11" spans="1:10">
      <c r="A11" s="408">
        <v>5</v>
      </c>
      <c r="B11" s="333" t="s">
        <v>751</v>
      </c>
      <c r="C11" s="337" t="s">
        <v>752</v>
      </c>
      <c r="D11" s="15" t="str">
        <f t="shared" ref="D11:D16" si="4">IF(RIGHT(C11,1)="D","Double","Single")</f>
        <v>Single</v>
      </c>
      <c r="E11" s="15" t="str">
        <f t="shared" si="1"/>
        <v>VIP</v>
      </c>
      <c r="F11" s="15" t="str">
        <f t="shared" si="3"/>
        <v>Lantai 1</v>
      </c>
      <c r="G11" s="337">
        <v>6</v>
      </c>
      <c r="H11" s="15">
        <f t="shared" si="2"/>
        <v>350000</v>
      </c>
      <c r="I11" s="15">
        <f t="shared" ref="I11:I16" si="5">IF(D11="Double",5%*H11,0*H11)</f>
        <v>0</v>
      </c>
      <c r="J11" s="16">
        <f t="shared" si="0"/>
        <v>350000</v>
      </c>
    </row>
    <row r="12" spans="1:10">
      <c r="A12" s="408">
        <v>6</v>
      </c>
      <c r="B12" s="333" t="s">
        <v>753</v>
      </c>
      <c r="C12" s="337" t="s">
        <v>748</v>
      </c>
      <c r="D12" s="15" t="str">
        <f t="shared" si="4"/>
        <v>Single</v>
      </c>
      <c r="E12" s="15" t="str">
        <f t="shared" si="1"/>
        <v>Family</v>
      </c>
      <c r="F12" s="15" t="str">
        <f t="shared" si="3"/>
        <v>Lantai 3</v>
      </c>
      <c r="G12" s="337">
        <v>4</v>
      </c>
      <c r="H12" s="15">
        <f t="shared" si="2"/>
        <v>250000</v>
      </c>
      <c r="I12" s="15">
        <f t="shared" si="5"/>
        <v>0</v>
      </c>
      <c r="J12" s="16">
        <f t="shared" si="0"/>
        <v>250000</v>
      </c>
    </row>
    <row r="13" spans="1:10">
      <c r="A13" s="408">
        <v>7</v>
      </c>
      <c r="B13" s="333" t="s">
        <v>754</v>
      </c>
      <c r="C13" s="337" t="s">
        <v>752</v>
      </c>
      <c r="D13" s="15" t="str">
        <f t="shared" si="4"/>
        <v>Single</v>
      </c>
      <c r="E13" s="15" t="str">
        <f t="shared" si="1"/>
        <v>VIP</v>
      </c>
      <c r="F13" s="15" t="str">
        <f t="shared" si="3"/>
        <v>Lantai 1</v>
      </c>
      <c r="G13" s="337">
        <v>1</v>
      </c>
      <c r="H13" s="15">
        <f t="shared" si="2"/>
        <v>350000</v>
      </c>
      <c r="I13" s="15">
        <f t="shared" si="5"/>
        <v>0</v>
      </c>
      <c r="J13" s="16">
        <f t="shared" si="0"/>
        <v>350000</v>
      </c>
    </row>
    <row r="14" spans="1:10">
      <c r="A14" s="408">
        <v>8</v>
      </c>
      <c r="B14" s="333" t="s">
        <v>755</v>
      </c>
      <c r="C14" s="337" t="s">
        <v>756</v>
      </c>
      <c r="D14" s="15" t="str">
        <f t="shared" si="4"/>
        <v>Single</v>
      </c>
      <c r="E14" s="15" t="str">
        <f t="shared" si="1"/>
        <v>Suitroom</v>
      </c>
      <c r="F14" s="15" t="str">
        <f t="shared" si="3"/>
        <v>Lantai 3</v>
      </c>
      <c r="G14" s="337">
        <v>5</v>
      </c>
      <c r="H14" s="15">
        <f t="shared" si="2"/>
        <v>75000</v>
      </c>
      <c r="I14" s="15">
        <f t="shared" si="5"/>
        <v>0</v>
      </c>
      <c r="J14" s="16">
        <f t="shared" si="0"/>
        <v>75000</v>
      </c>
    </row>
    <row r="15" spans="1:10">
      <c r="A15" s="408">
        <v>9</v>
      </c>
      <c r="B15" s="333" t="s">
        <v>757</v>
      </c>
      <c r="C15" s="337" t="s">
        <v>758</v>
      </c>
      <c r="D15" s="15" t="str">
        <f t="shared" si="4"/>
        <v>Single</v>
      </c>
      <c r="E15" s="15" t="str">
        <f t="shared" si="1"/>
        <v>VIP</v>
      </c>
      <c r="F15" s="15" t="str">
        <f t="shared" si="3"/>
        <v>Lantai 2</v>
      </c>
      <c r="G15" s="337">
        <v>15</v>
      </c>
      <c r="H15" s="15">
        <f t="shared" si="2"/>
        <v>350000</v>
      </c>
      <c r="I15" s="15">
        <f t="shared" si="5"/>
        <v>0</v>
      </c>
      <c r="J15" s="16">
        <f t="shared" si="0"/>
        <v>350000</v>
      </c>
    </row>
    <row r="16" spans="1:10" ht="13.8" thickBot="1">
      <c r="A16" s="409">
        <v>10</v>
      </c>
      <c r="B16" s="335" t="s">
        <v>759</v>
      </c>
      <c r="C16" s="338" t="s">
        <v>760</v>
      </c>
      <c r="D16" s="15" t="str">
        <f t="shared" si="4"/>
        <v>Double</v>
      </c>
      <c r="E16" s="15" t="str">
        <f t="shared" si="1"/>
        <v>Family</v>
      </c>
      <c r="F16" s="15" t="str">
        <f t="shared" si="3"/>
        <v>Lantai 1</v>
      </c>
      <c r="G16" s="338">
        <v>2</v>
      </c>
      <c r="H16" s="15">
        <f t="shared" si="2"/>
        <v>250000</v>
      </c>
      <c r="I16" s="15">
        <f t="shared" si="5"/>
        <v>12500</v>
      </c>
      <c r="J16" s="16">
        <f t="shared" si="0"/>
        <v>262500</v>
      </c>
    </row>
    <row r="18" spans="1:2">
      <c r="A18" s="69" t="s">
        <v>616</v>
      </c>
      <c r="B18" s="70"/>
    </row>
    <row r="19" spans="1:2">
      <c r="A19" s="72">
        <v>1</v>
      </c>
      <c r="B19" s="70" t="s">
        <v>735</v>
      </c>
    </row>
    <row r="20" spans="1:2">
      <c r="B20" s="13" t="s">
        <v>761</v>
      </c>
    </row>
    <row r="21" spans="1:2">
      <c r="B21" t="s">
        <v>762</v>
      </c>
    </row>
    <row r="22" spans="1:2">
      <c r="B22" t="s">
        <v>763</v>
      </c>
    </row>
    <row r="23" spans="1:2">
      <c r="A23" s="70">
        <v>2</v>
      </c>
      <c r="B23" s="70" t="s">
        <v>764</v>
      </c>
    </row>
    <row r="24" spans="1:2">
      <c r="B24" s="13" t="s">
        <v>765</v>
      </c>
    </row>
    <row r="25" spans="1:2">
      <c r="B25" t="s">
        <v>766</v>
      </c>
    </row>
    <row r="26" spans="1:2">
      <c r="B26" t="s">
        <v>767</v>
      </c>
    </row>
    <row r="27" spans="1:2">
      <c r="B27" t="s">
        <v>768</v>
      </c>
    </row>
    <row r="28" spans="1:2">
      <c r="A28" s="70">
        <v>3</v>
      </c>
      <c r="B28" s="70" t="s">
        <v>769</v>
      </c>
    </row>
    <row r="29" spans="1:2">
      <c r="B29" s="13" t="s">
        <v>770</v>
      </c>
    </row>
    <row r="30" spans="1:2">
      <c r="B30" t="s">
        <v>771</v>
      </c>
    </row>
    <row r="31" spans="1:2">
      <c r="B31" t="s">
        <v>772</v>
      </c>
    </row>
    <row r="32" spans="1:2">
      <c r="B32" t="s">
        <v>773</v>
      </c>
    </row>
    <row r="33" spans="1:2">
      <c r="A33" s="70">
        <v>4</v>
      </c>
      <c r="B33" s="70" t="s">
        <v>774</v>
      </c>
    </row>
    <row r="34" spans="1:2">
      <c r="B34" t="s">
        <v>775</v>
      </c>
    </row>
    <row r="35" spans="1:2">
      <c r="B35" t="s">
        <v>776</v>
      </c>
    </row>
    <row r="36" spans="1:2">
      <c r="B36" t="s">
        <v>777</v>
      </c>
    </row>
    <row r="37" spans="1:2">
      <c r="A37" s="70">
        <v>5</v>
      </c>
      <c r="B37" s="70" t="s">
        <v>778</v>
      </c>
    </row>
    <row r="38" spans="1:2">
      <c r="B38" t="s">
        <v>779</v>
      </c>
    </row>
    <row r="39" spans="1:2">
      <c r="B39" t="s">
        <v>780</v>
      </c>
    </row>
  </sheetData>
  <mergeCells count="13">
    <mergeCell ref="A1:J1"/>
    <mergeCell ref="A2:J2"/>
    <mergeCell ref="A3:J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honeticPr fontId="5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2"/>
  <sheetViews>
    <sheetView tabSelected="1" zoomScaleNormal="100" workbookViewId="0">
      <selection activeCell="K13" sqref="K13"/>
    </sheetView>
  </sheetViews>
  <sheetFormatPr defaultRowHeight="13.2"/>
  <cols>
    <col min="1" max="1" width="19.44140625" customWidth="1"/>
    <col min="4" max="4" width="11.44140625" customWidth="1"/>
    <col min="7" max="7" width="13.109375" bestFit="1" customWidth="1"/>
    <col min="8" max="8" width="16.44140625" customWidth="1"/>
    <col min="9" max="9" width="19.6640625" bestFit="1" customWidth="1"/>
    <col min="10" max="10" width="15.6640625" bestFit="1" customWidth="1"/>
    <col min="11" max="11" width="20" bestFit="1" customWidth="1"/>
  </cols>
  <sheetData>
    <row r="1" spans="1:11">
      <c r="A1" s="586" t="s">
        <v>679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1">
      <c r="A2" s="586" t="s">
        <v>680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</row>
    <row r="3" spans="1:11" ht="13.8" thickBot="1">
      <c r="A3" s="586" t="s">
        <v>681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</row>
    <row r="4" spans="1:11">
      <c r="A4" s="708" t="s">
        <v>706</v>
      </c>
      <c r="B4" s="705" t="s">
        <v>329</v>
      </c>
      <c r="C4" s="705" t="s">
        <v>682</v>
      </c>
      <c r="D4" s="710" t="s">
        <v>707</v>
      </c>
      <c r="E4" s="707" t="s">
        <v>683</v>
      </c>
      <c r="F4" s="707"/>
      <c r="G4" s="707"/>
      <c r="H4" s="707" t="s">
        <v>684</v>
      </c>
      <c r="I4" s="707"/>
      <c r="J4" s="707"/>
      <c r="K4" s="712" t="s">
        <v>731</v>
      </c>
    </row>
    <row r="5" spans="1:11">
      <c r="A5" s="709"/>
      <c r="B5" s="706"/>
      <c r="C5" s="706"/>
      <c r="D5" s="711" t="s">
        <v>685</v>
      </c>
      <c r="E5" s="410" t="s">
        <v>686</v>
      </c>
      <c r="F5" s="410" t="s">
        <v>687</v>
      </c>
      <c r="G5" s="411" t="s">
        <v>688</v>
      </c>
      <c r="H5" s="410" t="s">
        <v>689</v>
      </c>
      <c r="I5" s="411" t="s">
        <v>690</v>
      </c>
      <c r="J5" s="411" t="s">
        <v>691</v>
      </c>
      <c r="K5" s="713"/>
    </row>
    <row r="6" spans="1:11">
      <c r="A6" s="385" t="s">
        <v>692</v>
      </c>
      <c r="B6" s="351" t="s">
        <v>693</v>
      </c>
      <c r="C6" s="15" t="str">
        <f>IF(MID(B6,4,2)="NA","NIAGA",IF(MID(B6,4,2)="RM","RUMAH","SOSIAL"))</f>
        <v>NIAGA</v>
      </c>
      <c r="D6" s="535" t="str">
        <f>IF(RIGHT(B6,2)="04",450,IF(RIGHT(B6,2)="09",900,IF(RIGHT(B6,2)="13","1300","3500")))</f>
        <v>3500</v>
      </c>
      <c r="E6" s="351">
        <v>1000</v>
      </c>
      <c r="F6" s="351">
        <v>1200</v>
      </c>
      <c r="G6" s="15">
        <f>F6-E6</f>
        <v>200</v>
      </c>
      <c r="H6" s="537">
        <f>IF(LEFT(B6,2)="20",15000,IF(LEFT(B6,2)="35",35000,IF(LEFT(B6,2)="65",50000,15000)))</f>
        <v>50000</v>
      </c>
      <c r="I6" s="360">
        <f>IF(D6&lt;1000,450000,IF(D6&lt;2000,65000,450000))</f>
        <v>450000</v>
      </c>
      <c r="J6" s="360">
        <f>G6*I6</f>
        <v>90000000</v>
      </c>
      <c r="K6" s="536">
        <f>H6+J6</f>
        <v>90050000</v>
      </c>
    </row>
    <row r="7" spans="1:11">
      <c r="A7" s="385" t="s">
        <v>694</v>
      </c>
      <c r="B7" s="351" t="s">
        <v>695</v>
      </c>
      <c r="C7" s="15" t="str">
        <f>IF(MID(B7,4,2)="NA","NIAGA",IF(MID(B7,4,2)="RM","RUMAH","SOSIAL"))</f>
        <v>RUMAH</v>
      </c>
      <c r="D7" s="535">
        <f>IF(RIGHT(B7,2)="04",450,IF(RIGHT(B7,2)="09",900,IF(RIGHT(B7,2)="13","1300","3500")))</f>
        <v>450</v>
      </c>
      <c r="E7" s="351">
        <v>1250</v>
      </c>
      <c r="F7" s="351">
        <v>1500</v>
      </c>
      <c r="G7" s="15">
        <f>F7-E7</f>
        <v>250</v>
      </c>
      <c r="H7" s="537">
        <f>IF(LEFT(B7,2)="20",15000,IF(LEFT(B7,2)="35",35000,IF(LEFT(B7,2)="65",50000,15000)))</f>
        <v>35000</v>
      </c>
      <c r="I7" s="360">
        <f t="shared" ref="I7:I15" si="0">IF(D7&lt;1000,450000,IF(D7&lt;2000,65000,450000))</f>
        <v>450000</v>
      </c>
      <c r="J7" s="360">
        <f t="shared" ref="J7:J15" si="1">G7*I7</f>
        <v>112500000</v>
      </c>
      <c r="K7" s="536">
        <f t="shared" ref="K7:K15" si="2">H7+J7</f>
        <v>112535000</v>
      </c>
    </row>
    <row r="8" spans="1:11">
      <c r="A8" s="385" t="s">
        <v>696</v>
      </c>
      <c r="B8" s="351" t="s">
        <v>697</v>
      </c>
      <c r="C8" s="15" t="str">
        <f>IF(MID(B8,4,2)="NA","NIAGA",IF(MID(B8,4,2)="RM","RUMAH","SOSIAL"))</f>
        <v>RUMAH</v>
      </c>
      <c r="D8" s="535">
        <f>IF(RIGHT(B8,2)="04",450,IF(RIGHT(B8,2)="09",900,IF(RIGHT(B8,2)="13","1300","3500")))</f>
        <v>900</v>
      </c>
      <c r="E8" s="351">
        <v>1123</v>
      </c>
      <c r="F8" s="351">
        <v>1260</v>
      </c>
      <c r="G8" s="15">
        <f>F8-E8</f>
        <v>137</v>
      </c>
      <c r="H8" s="537">
        <f t="shared" ref="H8:H15" si="3">IF(LEFT(B8,2)="20",15000,IF(LEFT(B8,2)="35",35000,IF(LEFT(B8,2)="65",50000,15000)))</f>
        <v>35000</v>
      </c>
      <c r="I8" s="360">
        <f t="shared" si="0"/>
        <v>450000</v>
      </c>
      <c r="J8" s="360">
        <f t="shared" si="1"/>
        <v>61650000</v>
      </c>
      <c r="K8" s="536">
        <f t="shared" si="2"/>
        <v>61685000</v>
      </c>
    </row>
    <row r="9" spans="1:11">
      <c r="A9" s="385" t="s">
        <v>698</v>
      </c>
      <c r="B9" s="351" t="s">
        <v>699</v>
      </c>
      <c r="C9" s="15" t="str">
        <f t="shared" ref="C9:C15" si="4">IF(MID(B9,4,2)="NA","NIAGA",IF(MID(B9,4,2)="RM","RUMAH","SOSIAL"))</f>
        <v>SOSIAL</v>
      </c>
      <c r="D9" s="535" t="str">
        <f t="shared" ref="D9:D15" si="5">IF(RIGHT(B9,2)="04",450,IF(RIGHT(B9,2)="09",900,IF(RIGHT(B9,2)="13","1300","3500")))</f>
        <v>3500</v>
      </c>
      <c r="E9" s="351">
        <v>8796</v>
      </c>
      <c r="F9" s="351">
        <v>8888</v>
      </c>
      <c r="G9" s="15">
        <f>F9-E9</f>
        <v>92</v>
      </c>
      <c r="H9" s="537">
        <f t="shared" si="3"/>
        <v>15000</v>
      </c>
      <c r="I9" s="360">
        <f t="shared" si="0"/>
        <v>450000</v>
      </c>
      <c r="J9" s="360">
        <f t="shared" si="1"/>
        <v>41400000</v>
      </c>
      <c r="K9" s="536">
        <f t="shared" si="2"/>
        <v>41415000</v>
      </c>
    </row>
    <row r="10" spans="1:11">
      <c r="A10" s="385" t="s">
        <v>700</v>
      </c>
      <c r="B10" s="351" t="s">
        <v>697</v>
      </c>
      <c r="C10" s="15" t="str">
        <f t="shared" si="4"/>
        <v>RUMAH</v>
      </c>
      <c r="D10" s="535">
        <f t="shared" si="5"/>
        <v>900</v>
      </c>
      <c r="E10" s="351">
        <v>5389</v>
      </c>
      <c r="F10" s="351">
        <v>5499</v>
      </c>
      <c r="G10" s="15">
        <f t="shared" ref="G10:G15" si="6">F10-E10</f>
        <v>110</v>
      </c>
      <c r="H10" s="537">
        <f t="shared" si="3"/>
        <v>35000</v>
      </c>
      <c r="I10" s="360">
        <f t="shared" si="0"/>
        <v>450000</v>
      </c>
      <c r="J10" s="360">
        <f t="shared" si="1"/>
        <v>49500000</v>
      </c>
      <c r="K10" s="536">
        <f t="shared" si="2"/>
        <v>49535000</v>
      </c>
    </row>
    <row r="11" spans="1:11">
      <c r="A11" s="385" t="s">
        <v>701</v>
      </c>
      <c r="B11" s="351" t="s">
        <v>695</v>
      </c>
      <c r="C11" s="15" t="str">
        <f t="shared" si="4"/>
        <v>RUMAH</v>
      </c>
      <c r="D11" s="535">
        <f t="shared" si="5"/>
        <v>450</v>
      </c>
      <c r="E11" s="351">
        <v>1345</v>
      </c>
      <c r="F11" s="351">
        <v>1465</v>
      </c>
      <c r="G11" s="15">
        <f t="shared" si="6"/>
        <v>120</v>
      </c>
      <c r="H11" s="537">
        <f t="shared" si="3"/>
        <v>35000</v>
      </c>
      <c r="I11" s="360">
        <f t="shared" si="0"/>
        <v>450000</v>
      </c>
      <c r="J11" s="360">
        <f t="shared" si="1"/>
        <v>54000000</v>
      </c>
      <c r="K11" s="536">
        <f t="shared" si="2"/>
        <v>54035000</v>
      </c>
    </row>
    <row r="12" spans="1:11">
      <c r="A12" s="385" t="s">
        <v>702</v>
      </c>
      <c r="B12" s="351" t="s">
        <v>699</v>
      </c>
      <c r="C12" s="15" t="str">
        <f t="shared" si="4"/>
        <v>SOSIAL</v>
      </c>
      <c r="D12" s="535" t="str">
        <f t="shared" si="5"/>
        <v>3500</v>
      </c>
      <c r="E12" s="351">
        <v>1221</v>
      </c>
      <c r="F12" s="351">
        <v>1365</v>
      </c>
      <c r="G12" s="15">
        <f t="shared" si="6"/>
        <v>144</v>
      </c>
      <c r="H12" s="537">
        <f t="shared" si="3"/>
        <v>15000</v>
      </c>
      <c r="I12" s="360">
        <f t="shared" si="0"/>
        <v>450000</v>
      </c>
      <c r="J12" s="360">
        <f t="shared" si="1"/>
        <v>64800000</v>
      </c>
      <c r="K12" s="536">
        <f t="shared" si="2"/>
        <v>64815000</v>
      </c>
    </row>
    <row r="13" spans="1:11">
      <c r="A13" s="385" t="s">
        <v>703</v>
      </c>
      <c r="B13" s="351" t="s">
        <v>693</v>
      </c>
      <c r="C13" s="15" t="str">
        <f t="shared" si="4"/>
        <v>NIAGA</v>
      </c>
      <c r="D13" s="535" t="str">
        <f t="shared" si="5"/>
        <v>3500</v>
      </c>
      <c r="E13" s="351">
        <v>1134</v>
      </c>
      <c r="F13" s="351">
        <v>1325</v>
      </c>
      <c r="G13" s="15">
        <f t="shared" si="6"/>
        <v>191</v>
      </c>
      <c r="H13" s="537">
        <f t="shared" si="3"/>
        <v>50000</v>
      </c>
      <c r="I13" s="360">
        <f t="shared" si="0"/>
        <v>450000</v>
      </c>
      <c r="J13" s="360">
        <f t="shared" si="1"/>
        <v>85950000</v>
      </c>
      <c r="K13" s="536">
        <f t="shared" si="2"/>
        <v>86000000</v>
      </c>
    </row>
    <row r="14" spans="1:11">
      <c r="A14" s="385" t="s">
        <v>704</v>
      </c>
      <c r="B14" s="351" t="s">
        <v>695</v>
      </c>
      <c r="C14" s="15" t="str">
        <f t="shared" si="4"/>
        <v>RUMAH</v>
      </c>
      <c r="D14" s="535">
        <f t="shared" si="5"/>
        <v>450</v>
      </c>
      <c r="E14" s="351">
        <v>1351</v>
      </c>
      <c r="F14" s="351">
        <v>1546</v>
      </c>
      <c r="G14" s="15">
        <f t="shared" si="6"/>
        <v>195</v>
      </c>
      <c r="H14" s="537">
        <f t="shared" si="3"/>
        <v>35000</v>
      </c>
      <c r="I14" s="360">
        <f t="shared" si="0"/>
        <v>450000</v>
      </c>
      <c r="J14" s="360">
        <f t="shared" si="1"/>
        <v>87750000</v>
      </c>
      <c r="K14" s="536">
        <f t="shared" si="2"/>
        <v>87785000</v>
      </c>
    </row>
    <row r="15" spans="1:11" ht="13.8" thickBot="1">
      <c r="A15" s="386" t="s">
        <v>705</v>
      </c>
      <c r="B15" s="352" t="s">
        <v>699</v>
      </c>
      <c r="C15" s="15" t="str">
        <f t="shared" si="4"/>
        <v>SOSIAL</v>
      </c>
      <c r="D15" s="535" t="str">
        <f t="shared" si="5"/>
        <v>3500</v>
      </c>
      <c r="E15" s="352">
        <v>1253</v>
      </c>
      <c r="F15" s="352">
        <v>1423</v>
      </c>
      <c r="G15" s="15">
        <f t="shared" si="6"/>
        <v>170</v>
      </c>
      <c r="H15" s="537">
        <f t="shared" si="3"/>
        <v>15000</v>
      </c>
      <c r="I15" s="360">
        <f t="shared" si="0"/>
        <v>450000</v>
      </c>
      <c r="J15" s="360">
        <f t="shared" si="1"/>
        <v>76500000</v>
      </c>
      <c r="K15" s="536">
        <f t="shared" si="2"/>
        <v>76515000</v>
      </c>
    </row>
    <row r="16" spans="1:11">
      <c r="H16" s="538"/>
    </row>
    <row r="18" spans="1:2">
      <c r="A18" s="69" t="s">
        <v>660</v>
      </c>
    </row>
    <row r="19" spans="1:2">
      <c r="A19" s="70">
        <v>1</v>
      </c>
      <c r="B19" s="70" t="s">
        <v>711</v>
      </c>
    </row>
    <row r="20" spans="1:2">
      <c r="A20" s="13"/>
      <c r="B20" t="s">
        <v>708</v>
      </c>
    </row>
    <row r="21" spans="1:2">
      <c r="A21" s="13"/>
      <c r="B21" t="s">
        <v>709</v>
      </c>
    </row>
    <row r="22" spans="1:2">
      <c r="A22" s="13"/>
      <c r="B22" t="s">
        <v>710</v>
      </c>
    </row>
    <row r="23" spans="1:2">
      <c r="A23" s="70">
        <v>2</v>
      </c>
      <c r="B23" s="70" t="s">
        <v>712</v>
      </c>
    </row>
    <row r="24" spans="1:2">
      <c r="A24" s="13"/>
      <c r="B24" t="s">
        <v>713</v>
      </c>
    </row>
    <row r="25" spans="1:2">
      <c r="A25" s="13"/>
      <c r="B25" t="s">
        <v>714</v>
      </c>
    </row>
    <row r="26" spans="1:2">
      <c r="A26" s="13"/>
      <c r="B26" t="s">
        <v>715</v>
      </c>
    </row>
    <row r="27" spans="1:2">
      <c r="A27" s="13"/>
      <c r="B27" t="s">
        <v>716</v>
      </c>
    </row>
    <row r="28" spans="1:2">
      <c r="A28" s="70">
        <v>3</v>
      </c>
      <c r="B28" s="70" t="s">
        <v>717</v>
      </c>
    </row>
    <row r="29" spans="1:2">
      <c r="A29" s="13"/>
      <c r="B29" s="65" t="s">
        <v>718</v>
      </c>
    </row>
    <row r="30" spans="1:2">
      <c r="A30" s="70">
        <v>4</v>
      </c>
      <c r="B30" s="70" t="s">
        <v>719</v>
      </c>
    </row>
    <row r="31" spans="1:2">
      <c r="A31" s="13"/>
      <c r="B31" t="s">
        <v>720</v>
      </c>
    </row>
    <row r="32" spans="1:2">
      <c r="A32" s="13"/>
      <c r="B32" t="s">
        <v>721</v>
      </c>
    </row>
    <row r="33" spans="1:2">
      <c r="A33" s="13"/>
      <c r="B33" t="s">
        <v>722</v>
      </c>
    </row>
    <row r="34" spans="1:2">
      <c r="A34" s="13"/>
      <c r="B34" t="s">
        <v>720</v>
      </c>
    </row>
    <row r="35" spans="1:2">
      <c r="A35" s="70">
        <v>5</v>
      </c>
      <c r="B35" s="70" t="s">
        <v>723</v>
      </c>
    </row>
    <row r="36" spans="1:2">
      <c r="A36" s="13"/>
      <c r="B36" t="s">
        <v>724</v>
      </c>
    </row>
    <row r="37" spans="1:2">
      <c r="B37" t="s">
        <v>725</v>
      </c>
    </row>
    <row r="38" spans="1:2">
      <c r="B38" t="s">
        <v>726</v>
      </c>
    </row>
    <row r="39" spans="1:2">
      <c r="A39" s="70">
        <v>6</v>
      </c>
      <c r="B39" s="70" t="s">
        <v>727</v>
      </c>
    </row>
    <row r="40" spans="1:2">
      <c r="B40" s="65" t="s">
        <v>728</v>
      </c>
    </row>
    <row r="41" spans="1:2">
      <c r="A41" s="70">
        <v>7</v>
      </c>
      <c r="B41" s="70" t="s">
        <v>729</v>
      </c>
    </row>
    <row r="42" spans="1:2">
      <c r="B42" s="65" t="s">
        <v>730</v>
      </c>
    </row>
  </sheetData>
  <mergeCells count="10">
    <mergeCell ref="A1:K1"/>
    <mergeCell ref="A2:K2"/>
    <mergeCell ref="A3:K3"/>
    <mergeCell ref="B4:B5"/>
    <mergeCell ref="C4:C5"/>
    <mergeCell ref="E4:G4"/>
    <mergeCell ref="H4:J4"/>
    <mergeCell ref="A4:A5"/>
    <mergeCell ref="D4:D5"/>
    <mergeCell ref="K4:K5"/>
  </mergeCells>
  <phoneticPr fontId="5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1"/>
  <sheetViews>
    <sheetView topLeftCell="C1" zoomScale="89" zoomScaleNormal="89" workbookViewId="0">
      <selection activeCell="F28" sqref="F28"/>
    </sheetView>
  </sheetViews>
  <sheetFormatPr defaultRowHeight="13.2"/>
  <cols>
    <col min="2" max="2" width="27.6640625" bestFit="1" customWidth="1"/>
    <col min="3" max="3" width="13.44140625" bestFit="1" customWidth="1"/>
    <col min="4" max="4" width="15.6640625" bestFit="1" customWidth="1"/>
    <col min="5" max="5" width="12.109375" bestFit="1" customWidth="1"/>
    <col min="6" max="6" width="11.109375" bestFit="1" customWidth="1"/>
    <col min="7" max="7" width="16.33203125" bestFit="1" customWidth="1"/>
    <col min="8" max="8" width="10.109375" bestFit="1" customWidth="1"/>
    <col min="9" max="9" width="14.44140625" customWidth="1"/>
    <col min="10" max="10" width="56.109375" customWidth="1"/>
  </cols>
  <sheetData>
    <row r="1" spans="1:10">
      <c r="A1" s="715" t="s">
        <v>930</v>
      </c>
      <c r="B1" s="715"/>
      <c r="C1" s="715"/>
      <c r="D1" s="715"/>
      <c r="E1" s="715"/>
      <c r="F1" s="715"/>
      <c r="G1" s="715"/>
      <c r="H1" s="715"/>
      <c r="I1" s="715"/>
      <c r="J1" s="715"/>
    </row>
    <row r="2" spans="1:10">
      <c r="A2" s="715"/>
      <c r="B2" s="715"/>
      <c r="C2" s="715"/>
      <c r="D2" s="715"/>
      <c r="E2" s="715"/>
      <c r="F2" s="715"/>
      <c r="G2" s="715"/>
      <c r="H2" s="715"/>
      <c r="I2" s="715"/>
      <c r="J2" s="715"/>
    </row>
    <row r="4" spans="1:10">
      <c r="A4" s="13" t="s">
        <v>977</v>
      </c>
      <c r="C4" s="425">
        <f ca="1">NOW()</f>
        <v>46275.89495115741</v>
      </c>
    </row>
    <row r="5" spans="1:10" ht="13.8" thickBot="1"/>
    <row r="6" spans="1:10" ht="13.8" thickTop="1">
      <c r="A6" s="716" t="s">
        <v>556</v>
      </c>
      <c r="B6" s="716" t="s">
        <v>331</v>
      </c>
      <c r="C6" s="716" t="s">
        <v>736</v>
      </c>
      <c r="D6" s="716" t="s">
        <v>931</v>
      </c>
      <c r="E6" s="716" t="s">
        <v>932</v>
      </c>
      <c r="F6" s="716" t="s">
        <v>933</v>
      </c>
      <c r="G6" s="718" t="s">
        <v>934</v>
      </c>
      <c r="H6" s="718"/>
      <c r="I6" s="718"/>
      <c r="J6" s="719" t="s">
        <v>935</v>
      </c>
    </row>
    <row r="7" spans="1:10" ht="13.8" thickBot="1">
      <c r="A7" s="717"/>
      <c r="B7" s="717"/>
      <c r="C7" s="717"/>
      <c r="D7" s="717"/>
      <c r="E7" s="717"/>
      <c r="F7" s="717"/>
      <c r="G7" s="412" t="s">
        <v>936</v>
      </c>
      <c r="H7" s="412" t="s">
        <v>937</v>
      </c>
      <c r="I7" s="412" t="s">
        <v>938</v>
      </c>
      <c r="J7" s="720"/>
    </row>
    <row r="8" spans="1:10" ht="14.4" thickTop="1" thickBot="1">
      <c r="A8" s="343">
        <v>1</v>
      </c>
      <c r="B8" s="343" t="s">
        <v>939</v>
      </c>
      <c r="C8" s="343" t="s">
        <v>940</v>
      </c>
      <c r="D8" s="416">
        <v>29821</v>
      </c>
      <c r="E8" s="415">
        <f>_xlfn.XLOOKUP(F8,$I$25:$I$31,$H$25:$H$31)</f>
        <v>1</v>
      </c>
      <c r="F8" s="420" t="str">
        <f>CHOOSE(WEEKDAY(D8),"minggu","senin","selasa","rabu","kamis","jumat","sabtu")</f>
        <v>minggu</v>
      </c>
      <c r="G8" s="560">
        <f ca="1">DATEDIF(D8,$C$4,"Y")</f>
        <v>45</v>
      </c>
      <c r="H8" s="561">
        <f ca="1">DATEDIF(D8,$C$4,"M")</f>
        <v>540</v>
      </c>
      <c r="I8" s="562">
        <f ca="1">DATEDIF(D8,$C$4,"D")</f>
        <v>16454</v>
      </c>
      <c r="J8" s="421" t="str">
        <f>VLOOKUP(F8,$I$24:$O$31,2,0)</f>
        <v>PERIANG, CENTIL,RINGAN TANGAN, KHARISMATIK</v>
      </c>
    </row>
    <row r="9" spans="1:10" ht="14.4" thickTop="1" thickBot="1">
      <c r="A9" s="346">
        <v>2</v>
      </c>
      <c r="B9" s="346" t="s">
        <v>941</v>
      </c>
      <c r="C9" s="346" t="s">
        <v>940</v>
      </c>
      <c r="D9" s="417">
        <v>31393</v>
      </c>
      <c r="E9" s="415">
        <f t="shared" ref="E9:E22" si="0">_xlfn.XLOOKUP(F9,$I$25:$I$31,$H$25:$H$31)</f>
        <v>5</v>
      </c>
      <c r="F9" s="420" t="str">
        <f t="shared" ref="F9:F22" si="1">CHOOSE(WEEKDAY(D9),"minggu","senin","selasa","rabu","kamis","jumat","sabtu")</f>
        <v>kamis</v>
      </c>
      <c r="G9" s="560">
        <f ca="1">DATEDIF(D9,$C$4,"Y")</f>
        <v>40</v>
      </c>
      <c r="H9" s="561">
        <f ca="1">DATEDIF(D9,$C$4,"M")</f>
        <v>488</v>
      </c>
      <c r="I9" s="562">
        <f ca="1">DATEDIF(D9,$C$4,"D")</f>
        <v>14882</v>
      </c>
      <c r="J9" s="421" t="str">
        <f>VLOOKUP(F9,$I$24:$O$31,2,FALSE)</f>
        <v>PEMARAH, KERAS HATI, SUKA DIPUJI</v>
      </c>
    </row>
    <row r="10" spans="1:10" ht="14.4" thickTop="1" thickBot="1">
      <c r="A10" s="346">
        <v>3</v>
      </c>
      <c r="B10" s="346" t="s">
        <v>942</v>
      </c>
      <c r="C10" s="346" t="s">
        <v>940</v>
      </c>
      <c r="D10" s="417">
        <v>36892</v>
      </c>
      <c r="E10" s="415">
        <f t="shared" si="0"/>
        <v>2</v>
      </c>
      <c r="F10" s="420" t="str">
        <f t="shared" si="1"/>
        <v>senin</v>
      </c>
      <c r="G10" s="560">
        <f t="shared" ref="G10:G22" ca="1" si="2">DATEDIF(D10,$C$4,"Y")</f>
        <v>25</v>
      </c>
      <c r="H10" s="561">
        <f t="shared" ref="H10:H22" ca="1" si="3">DATEDIF(D10,$C$4,"M")</f>
        <v>308</v>
      </c>
      <c r="I10" s="562">
        <f t="shared" ref="I10:I22" ca="1" si="4">DATEDIF(D10,$C$4,"D")</f>
        <v>9383</v>
      </c>
      <c r="J10" s="421" t="str">
        <f t="shared" ref="J10:J22" si="5">VLOOKUP(F10,$I$24:$O$31,2,FALSE)</f>
        <v>JUJUR, TEGAS, PENOLONG</v>
      </c>
    </row>
    <row r="11" spans="1:10" ht="14.4" thickTop="1" thickBot="1">
      <c r="A11" s="346">
        <v>4</v>
      </c>
      <c r="B11" s="346" t="s">
        <v>943</v>
      </c>
      <c r="C11" s="346" t="s">
        <v>944</v>
      </c>
      <c r="D11" s="417">
        <v>28391</v>
      </c>
      <c r="E11" s="415">
        <f t="shared" si="0"/>
        <v>6</v>
      </c>
      <c r="F11" s="420" t="str">
        <f t="shared" si="1"/>
        <v>jumat</v>
      </c>
      <c r="G11" s="560">
        <f t="shared" ca="1" si="2"/>
        <v>48</v>
      </c>
      <c r="H11" s="561">
        <f t="shared" ca="1" si="3"/>
        <v>587</v>
      </c>
      <c r="I11" s="562">
        <f t="shared" ca="1" si="4"/>
        <v>17884</v>
      </c>
      <c r="J11" s="421" t="str">
        <f t="shared" si="5"/>
        <v>PERIANG, RAMAH, DAN CERDAS</v>
      </c>
    </row>
    <row r="12" spans="1:10" ht="14.4" thickTop="1" thickBot="1">
      <c r="A12" s="346">
        <v>5</v>
      </c>
      <c r="B12" s="346" t="s">
        <v>945</v>
      </c>
      <c r="C12" s="346" t="s">
        <v>944</v>
      </c>
      <c r="D12" s="417">
        <v>32906</v>
      </c>
      <c r="E12" s="415">
        <f t="shared" si="0"/>
        <v>6</v>
      </c>
      <c r="F12" s="420" t="str">
        <f t="shared" si="1"/>
        <v>jumat</v>
      </c>
      <c r="G12" s="560">
        <f t="shared" ca="1" si="2"/>
        <v>36</v>
      </c>
      <c r="H12" s="561">
        <f t="shared" ca="1" si="3"/>
        <v>439</v>
      </c>
      <c r="I12" s="562">
        <f t="shared" ca="1" si="4"/>
        <v>13369</v>
      </c>
      <c r="J12" s="421" t="str">
        <f t="shared" si="5"/>
        <v>PERIANG, RAMAH, DAN CERDAS</v>
      </c>
    </row>
    <row r="13" spans="1:10" ht="14.4" thickTop="1" thickBot="1">
      <c r="A13" s="346">
        <v>6</v>
      </c>
      <c r="B13" s="346" t="s">
        <v>946</v>
      </c>
      <c r="C13" s="346" t="s">
        <v>944</v>
      </c>
      <c r="D13" s="417">
        <v>34339</v>
      </c>
      <c r="E13" s="415">
        <f t="shared" si="0"/>
        <v>4</v>
      </c>
      <c r="F13" s="420" t="str">
        <f t="shared" si="1"/>
        <v>rabu</v>
      </c>
      <c r="G13" s="560">
        <f t="shared" ca="1" si="2"/>
        <v>32</v>
      </c>
      <c r="H13" s="561">
        <f t="shared" ca="1" si="3"/>
        <v>392</v>
      </c>
      <c r="I13" s="562">
        <f t="shared" ca="1" si="4"/>
        <v>11936</v>
      </c>
      <c r="J13" s="421" t="str">
        <f t="shared" si="5"/>
        <v>PENOLONG, TEGAS, TIDAK SABARAN</v>
      </c>
    </row>
    <row r="14" spans="1:10" ht="14.4" thickTop="1" thickBot="1">
      <c r="A14" s="346">
        <v>7</v>
      </c>
      <c r="B14" s="346" t="s">
        <v>947</v>
      </c>
      <c r="C14" s="346" t="s">
        <v>944</v>
      </c>
      <c r="D14" s="417">
        <v>33784</v>
      </c>
      <c r="E14" s="415">
        <f t="shared" si="0"/>
        <v>2</v>
      </c>
      <c r="F14" s="420" t="str">
        <f t="shared" si="1"/>
        <v>senin</v>
      </c>
      <c r="G14" s="560">
        <f t="shared" ca="1" si="2"/>
        <v>34</v>
      </c>
      <c r="H14" s="561">
        <f t="shared" ca="1" si="3"/>
        <v>410</v>
      </c>
      <c r="I14" s="562">
        <f t="shared" ca="1" si="4"/>
        <v>12491</v>
      </c>
      <c r="J14" s="421" t="str">
        <f t="shared" si="5"/>
        <v>JUJUR, TEGAS, PENOLONG</v>
      </c>
    </row>
    <row r="15" spans="1:10" ht="14.4" thickTop="1" thickBot="1">
      <c r="A15" s="346">
        <v>8</v>
      </c>
      <c r="B15" s="346" t="s">
        <v>948</v>
      </c>
      <c r="C15" s="346" t="s">
        <v>949</v>
      </c>
      <c r="D15" s="417">
        <v>27712</v>
      </c>
      <c r="E15" s="415">
        <f t="shared" si="0"/>
        <v>6</v>
      </c>
      <c r="F15" s="420" t="str">
        <f t="shared" si="1"/>
        <v>jumat</v>
      </c>
      <c r="G15" s="560">
        <f t="shared" ca="1" si="2"/>
        <v>50</v>
      </c>
      <c r="H15" s="561">
        <f t="shared" ca="1" si="3"/>
        <v>609</v>
      </c>
      <c r="I15" s="562">
        <f t="shared" ca="1" si="4"/>
        <v>18563</v>
      </c>
      <c r="J15" s="421" t="str">
        <f t="shared" si="5"/>
        <v>PERIANG, RAMAH, DAN CERDAS</v>
      </c>
    </row>
    <row r="16" spans="1:10" ht="14.4" thickTop="1" thickBot="1">
      <c r="A16" s="346">
        <v>9</v>
      </c>
      <c r="B16" s="346" t="s">
        <v>950</v>
      </c>
      <c r="C16" s="346" t="s">
        <v>951</v>
      </c>
      <c r="D16" s="417">
        <v>34734</v>
      </c>
      <c r="E16" s="415">
        <f t="shared" si="0"/>
        <v>7</v>
      </c>
      <c r="F16" s="420" t="str">
        <f t="shared" si="1"/>
        <v>sabtu</v>
      </c>
      <c r="G16" s="560">
        <f t="shared" ca="1" si="2"/>
        <v>31</v>
      </c>
      <c r="H16" s="561">
        <f t="shared" ca="1" si="3"/>
        <v>379</v>
      </c>
      <c r="I16" s="562">
        <f t="shared" ca="1" si="4"/>
        <v>11541</v>
      </c>
      <c r="J16" s="421" t="str">
        <f t="shared" si="5"/>
        <v>SULIT DITEBAK, ANGIN-ANGINAN, KERAS DALAM BERJUANG</v>
      </c>
    </row>
    <row r="17" spans="1:15" ht="14.4" thickTop="1" thickBot="1">
      <c r="A17" s="346">
        <v>10</v>
      </c>
      <c r="B17" s="346" t="s">
        <v>952</v>
      </c>
      <c r="C17" s="346" t="s">
        <v>953</v>
      </c>
      <c r="D17" s="417">
        <v>32309</v>
      </c>
      <c r="E17" s="415">
        <f t="shared" si="0"/>
        <v>4</v>
      </c>
      <c r="F17" s="420" t="str">
        <f t="shared" si="1"/>
        <v>rabu</v>
      </c>
      <c r="G17" s="560">
        <f t="shared" ca="1" si="2"/>
        <v>38</v>
      </c>
      <c r="H17" s="561">
        <f t="shared" ca="1" si="3"/>
        <v>458</v>
      </c>
      <c r="I17" s="562">
        <f t="shared" ca="1" si="4"/>
        <v>13966</v>
      </c>
      <c r="J17" s="421" t="str">
        <f t="shared" si="5"/>
        <v>PENOLONG, TEGAS, TIDAK SABARAN</v>
      </c>
    </row>
    <row r="18" spans="1:15" ht="14.4" thickTop="1" thickBot="1">
      <c r="A18" s="346">
        <v>11</v>
      </c>
      <c r="B18" s="346" t="s">
        <v>954</v>
      </c>
      <c r="C18" s="346" t="s">
        <v>955</v>
      </c>
      <c r="D18" s="417">
        <v>32427</v>
      </c>
      <c r="E18" s="415">
        <f t="shared" si="0"/>
        <v>3</v>
      </c>
      <c r="F18" s="420" t="str">
        <f t="shared" si="1"/>
        <v>selasa</v>
      </c>
      <c r="G18" s="560">
        <f t="shared" ca="1" si="2"/>
        <v>37</v>
      </c>
      <c r="H18" s="561">
        <f t="shared" ca="1" si="3"/>
        <v>454</v>
      </c>
      <c r="I18" s="562">
        <f t="shared" ca="1" si="4"/>
        <v>13848</v>
      </c>
      <c r="J18" s="421" t="str">
        <f t="shared" si="5"/>
        <v>KADANG MUNAFIK, KERAS KEPALA</v>
      </c>
    </row>
    <row r="19" spans="1:15" ht="14.4" thickTop="1" thickBot="1">
      <c r="A19" s="346">
        <v>12</v>
      </c>
      <c r="B19" s="346" t="s">
        <v>956</v>
      </c>
      <c r="C19" s="346" t="s">
        <v>955</v>
      </c>
      <c r="D19" s="417">
        <v>23914</v>
      </c>
      <c r="E19" s="415">
        <f t="shared" si="0"/>
        <v>2</v>
      </c>
      <c r="F19" s="420" t="str">
        <f t="shared" si="1"/>
        <v>senin</v>
      </c>
      <c r="G19" s="560">
        <f t="shared" ca="1" si="2"/>
        <v>61</v>
      </c>
      <c r="H19" s="561">
        <f t="shared" ca="1" si="3"/>
        <v>734</v>
      </c>
      <c r="I19" s="562">
        <f t="shared" ca="1" si="4"/>
        <v>22361</v>
      </c>
      <c r="J19" s="421" t="str">
        <f t="shared" si="5"/>
        <v>JUJUR, TEGAS, PENOLONG</v>
      </c>
    </row>
    <row r="20" spans="1:15" ht="14.4" thickTop="1" thickBot="1">
      <c r="A20" s="346">
        <v>13</v>
      </c>
      <c r="B20" s="346" t="s">
        <v>957</v>
      </c>
      <c r="C20" s="346" t="s">
        <v>958</v>
      </c>
      <c r="D20" s="417">
        <v>31062</v>
      </c>
      <c r="E20" s="415">
        <f t="shared" si="0"/>
        <v>3</v>
      </c>
      <c r="F20" s="420" t="str">
        <f t="shared" si="1"/>
        <v>selasa</v>
      </c>
      <c r="G20" s="560">
        <f t="shared" ca="1" si="2"/>
        <v>41</v>
      </c>
      <c r="H20" s="561">
        <f t="shared" ca="1" si="3"/>
        <v>499</v>
      </c>
      <c r="I20" s="562">
        <f t="shared" ca="1" si="4"/>
        <v>15213</v>
      </c>
      <c r="J20" s="421" t="str">
        <f t="shared" si="5"/>
        <v>KADANG MUNAFIK, KERAS KEPALA</v>
      </c>
    </row>
    <row r="21" spans="1:15" ht="14.4" thickTop="1" thickBot="1">
      <c r="A21" s="346">
        <v>14</v>
      </c>
      <c r="B21" s="346" t="s">
        <v>959</v>
      </c>
      <c r="C21" s="346" t="s">
        <v>958</v>
      </c>
      <c r="D21" s="417">
        <v>35631</v>
      </c>
      <c r="E21" s="415">
        <f t="shared" si="0"/>
        <v>1</v>
      </c>
      <c r="F21" s="420" t="str">
        <f t="shared" si="1"/>
        <v>minggu</v>
      </c>
      <c r="G21" s="560">
        <f t="shared" ca="1" si="2"/>
        <v>29</v>
      </c>
      <c r="H21" s="561">
        <f t="shared" ca="1" si="3"/>
        <v>349</v>
      </c>
      <c r="I21" s="562">
        <f t="shared" ca="1" si="4"/>
        <v>10644</v>
      </c>
      <c r="J21" s="421" t="str">
        <f t="shared" si="5"/>
        <v>PERIANG, CENTIL,RINGAN TANGAN, KHARISMATIK</v>
      </c>
    </row>
    <row r="22" spans="1:15" ht="14.4" thickTop="1" thickBot="1">
      <c r="A22" s="418">
        <v>15</v>
      </c>
      <c r="B22" s="418" t="s">
        <v>960</v>
      </c>
      <c r="C22" s="418" t="s">
        <v>961</v>
      </c>
      <c r="D22" s="419">
        <v>27783</v>
      </c>
      <c r="E22" s="415">
        <f t="shared" si="0"/>
        <v>7</v>
      </c>
      <c r="F22" s="420" t="str">
        <f t="shared" si="1"/>
        <v>sabtu</v>
      </c>
      <c r="G22" s="560">
        <f t="shared" ca="1" si="2"/>
        <v>50</v>
      </c>
      <c r="H22" s="561">
        <f t="shared" ca="1" si="3"/>
        <v>607</v>
      </c>
      <c r="I22" s="562">
        <f t="shared" ca="1" si="4"/>
        <v>18492</v>
      </c>
      <c r="J22" s="421" t="str">
        <f t="shared" si="5"/>
        <v>SULIT DITEBAK, ANGIN-ANGINAN, KERAS DALAM BERJUANG</v>
      </c>
    </row>
    <row r="23" spans="1:15" ht="13.8" thickTop="1"/>
    <row r="24" spans="1:15" ht="26.4">
      <c r="B24" s="13" t="s">
        <v>660</v>
      </c>
      <c r="H24" s="413" t="s">
        <v>932</v>
      </c>
      <c r="I24" s="414" t="s">
        <v>933</v>
      </c>
      <c r="J24" s="714" t="s">
        <v>962</v>
      </c>
      <c r="K24" s="714"/>
      <c r="L24" s="714"/>
      <c r="M24" s="714"/>
      <c r="N24" s="714"/>
      <c r="O24" s="714"/>
    </row>
    <row r="25" spans="1:15">
      <c r="B25" s="52" t="s">
        <v>1125</v>
      </c>
      <c r="C25" s="52" t="s">
        <v>1126</v>
      </c>
      <c r="H25" s="415">
        <v>1</v>
      </c>
      <c r="I25" s="415" t="s">
        <v>963</v>
      </c>
      <c r="J25" s="422" t="s">
        <v>964</v>
      </c>
      <c r="K25" s="423"/>
      <c r="L25" s="423"/>
      <c r="M25" s="423"/>
      <c r="N25" s="423"/>
      <c r="O25" s="424"/>
    </row>
    <row r="26" spans="1:15">
      <c r="B26" s="52" t="s">
        <v>1127</v>
      </c>
      <c r="C26" s="52" t="s">
        <v>1128</v>
      </c>
      <c r="H26" s="415">
        <v>2</v>
      </c>
      <c r="I26" s="415" t="s">
        <v>965</v>
      </c>
      <c r="J26" s="422" t="s">
        <v>966</v>
      </c>
      <c r="K26" s="423"/>
      <c r="L26" s="423"/>
      <c r="M26" s="423"/>
      <c r="N26" s="423"/>
      <c r="O26" s="424"/>
    </row>
    <row r="27" spans="1:15">
      <c r="B27" s="52" t="s">
        <v>1129</v>
      </c>
      <c r="C27" s="52" t="s">
        <v>1128</v>
      </c>
      <c r="H27" s="415">
        <v>3</v>
      </c>
      <c r="I27" s="415" t="s">
        <v>967</v>
      </c>
      <c r="J27" s="422" t="s">
        <v>968</v>
      </c>
      <c r="K27" s="423"/>
      <c r="L27" s="423"/>
      <c r="M27" s="423"/>
      <c r="N27" s="423"/>
      <c r="O27" s="424"/>
    </row>
    <row r="28" spans="1:15">
      <c r="B28" s="52" t="s">
        <v>1130</v>
      </c>
      <c r="C28" s="427" t="s">
        <v>1131</v>
      </c>
      <c r="H28" s="415">
        <v>4</v>
      </c>
      <c r="I28" s="415" t="s">
        <v>969</v>
      </c>
      <c r="J28" s="422" t="s">
        <v>970</v>
      </c>
      <c r="K28" s="423"/>
      <c r="L28" s="423"/>
      <c r="M28" s="423"/>
      <c r="N28" s="423"/>
      <c r="O28" s="424"/>
    </row>
    <row r="29" spans="1:15">
      <c r="H29" s="415">
        <v>5</v>
      </c>
      <c r="I29" s="415" t="s">
        <v>971</v>
      </c>
      <c r="J29" s="422" t="s">
        <v>972</v>
      </c>
      <c r="K29" s="423"/>
      <c r="L29" s="423"/>
      <c r="M29" s="423"/>
      <c r="N29" s="423"/>
      <c r="O29" s="424"/>
    </row>
    <row r="30" spans="1:15">
      <c r="H30" s="415">
        <v>6</v>
      </c>
      <c r="I30" s="415" t="s">
        <v>973</v>
      </c>
      <c r="J30" s="422" t="s">
        <v>974</v>
      </c>
      <c r="K30" s="423"/>
      <c r="L30" s="423"/>
      <c r="M30" s="423"/>
      <c r="N30" s="423"/>
      <c r="O30" s="424"/>
    </row>
    <row r="31" spans="1:15">
      <c r="H31" s="415">
        <v>7</v>
      </c>
      <c r="I31" s="415" t="s">
        <v>975</v>
      </c>
      <c r="J31" s="422" t="s">
        <v>976</v>
      </c>
      <c r="K31" s="423"/>
      <c r="L31" s="423"/>
      <c r="M31" s="423"/>
      <c r="N31" s="423"/>
      <c r="O31" s="424"/>
    </row>
  </sheetData>
  <mergeCells count="10">
    <mergeCell ref="J24:O24"/>
    <mergeCell ref="A1:J2"/>
    <mergeCell ref="A6:A7"/>
    <mergeCell ref="B6:B7"/>
    <mergeCell ref="C6:C7"/>
    <mergeCell ref="D6:D7"/>
    <mergeCell ref="E6:E7"/>
    <mergeCell ref="F6:F7"/>
    <mergeCell ref="G6:I6"/>
    <mergeCell ref="J6:J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4"/>
  <sheetViews>
    <sheetView topLeftCell="B1" zoomScale="90" zoomScaleNormal="90" workbookViewId="0">
      <selection activeCell="Q6" sqref="Q6"/>
    </sheetView>
  </sheetViews>
  <sheetFormatPr defaultRowHeight="13.2"/>
  <cols>
    <col min="1" max="1" width="3.5546875" bestFit="1" customWidth="1"/>
    <col min="2" max="2" width="20.44140625" bestFit="1" customWidth="1"/>
    <col min="3" max="3" width="15.33203125" bestFit="1" customWidth="1"/>
    <col min="4" max="4" width="9.44140625" bestFit="1" customWidth="1"/>
    <col min="5" max="5" width="15.33203125" bestFit="1" customWidth="1"/>
    <col min="6" max="6" width="11.6640625" bestFit="1" customWidth="1"/>
    <col min="7" max="7" width="8.33203125" bestFit="1" customWidth="1"/>
    <col min="8" max="10" width="13.77734375" bestFit="1" customWidth="1"/>
    <col min="11" max="12" width="15.33203125" bestFit="1" customWidth="1"/>
    <col min="13" max="14" width="13.77734375" bestFit="1" customWidth="1"/>
    <col min="15" max="15" width="12.6640625" bestFit="1" customWidth="1"/>
    <col min="16" max="16" width="18.77734375" bestFit="1" customWidth="1"/>
    <col min="17" max="17" width="15.33203125" bestFit="1" customWidth="1"/>
  </cols>
  <sheetData>
    <row r="1" spans="1:18" ht="25.8">
      <c r="A1" s="721" t="s">
        <v>978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</row>
    <row r="2" spans="1:18" ht="25.8">
      <c r="A2" s="721" t="s">
        <v>979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</row>
    <row r="3" spans="1:18" ht="13.8" thickBot="1">
      <c r="A3" s="666"/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  <c r="Q3" s="666"/>
      <c r="R3" s="666"/>
    </row>
    <row r="4" spans="1:18" ht="14.4" thickTop="1" thickBot="1">
      <c r="A4" s="723" t="s">
        <v>556</v>
      </c>
      <c r="B4" s="725" t="s">
        <v>639</v>
      </c>
      <c r="C4" s="725" t="s">
        <v>980</v>
      </c>
      <c r="D4" s="725" t="s">
        <v>981</v>
      </c>
      <c r="E4" s="725" t="s">
        <v>643</v>
      </c>
      <c r="F4" s="727" t="s">
        <v>330</v>
      </c>
      <c r="G4" s="727"/>
      <c r="H4" s="727" t="s">
        <v>912</v>
      </c>
      <c r="I4" s="727"/>
      <c r="J4" s="727"/>
      <c r="K4" s="727"/>
      <c r="L4" s="725" t="s">
        <v>982</v>
      </c>
      <c r="M4" s="727" t="s">
        <v>647</v>
      </c>
      <c r="N4" s="727"/>
      <c r="O4" s="727"/>
      <c r="P4" s="728" t="s">
        <v>983</v>
      </c>
      <c r="Q4" s="730" t="s">
        <v>984</v>
      </c>
    </row>
    <row r="5" spans="1:18" ht="27.6" thickTop="1" thickBot="1">
      <c r="A5" s="724"/>
      <c r="B5" s="726"/>
      <c r="C5" s="726"/>
      <c r="D5" s="726"/>
      <c r="E5" s="726"/>
      <c r="F5" s="428" t="s">
        <v>985</v>
      </c>
      <c r="G5" s="429" t="s">
        <v>986</v>
      </c>
      <c r="H5" s="575" t="s">
        <v>987</v>
      </c>
      <c r="I5" s="429" t="s">
        <v>988</v>
      </c>
      <c r="J5" s="428" t="s">
        <v>989</v>
      </c>
      <c r="K5" s="429" t="s">
        <v>990</v>
      </c>
      <c r="L5" s="726"/>
      <c r="M5" s="428" t="s">
        <v>991</v>
      </c>
      <c r="N5" s="428" t="s">
        <v>992</v>
      </c>
      <c r="O5" s="428" t="s">
        <v>993</v>
      </c>
      <c r="P5" s="729"/>
      <c r="Q5" s="731"/>
    </row>
    <row r="6" spans="1:18" ht="13.8" thickTop="1">
      <c r="A6" s="430">
        <v>1</v>
      </c>
      <c r="B6" s="270" t="s">
        <v>994</v>
      </c>
      <c r="C6" s="270">
        <v>971117012</v>
      </c>
      <c r="D6" s="270" t="s">
        <v>995</v>
      </c>
      <c r="E6" s="743">
        <f>VLOOKUP(D6,$B$18:$C$23,2,0)</f>
        <v>850000</v>
      </c>
      <c r="F6" s="270">
        <v>25</v>
      </c>
      <c r="G6" s="270">
        <v>13</v>
      </c>
      <c r="H6" s="744">
        <f>E6/6</f>
        <v>141666.66666666666</v>
      </c>
      <c r="I6" s="745">
        <f>7500*F6</f>
        <v>187500</v>
      </c>
      <c r="J6" s="746">
        <f>15000*F6</f>
        <v>375000</v>
      </c>
      <c r="K6" s="746">
        <f>85000*G6</f>
        <v>1105000</v>
      </c>
      <c r="L6" s="745">
        <f>E6+I6+J6+K6+H6</f>
        <v>2659166.6666666665</v>
      </c>
      <c r="M6" s="745">
        <f>E6/5</f>
        <v>170000</v>
      </c>
      <c r="N6" s="745">
        <f>E6/8</f>
        <v>106250</v>
      </c>
      <c r="O6" s="745">
        <f>2.5%*E6</f>
        <v>21250</v>
      </c>
      <c r="P6" s="745">
        <f>M6+N6-O6</f>
        <v>255000</v>
      </c>
      <c r="Q6" s="747">
        <f>L6-P6</f>
        <v>2404166.6666666665</v>
      </c>
    </row>
    <row r="7" spans="1:18">
      <c r="A7" s="431">
        <v>2</v>
      </c>
      <c r="B7" s="271" t="s">
        <v>996</v>
      </c>
      <c r="C7" s="271">
        <v>971127113</v>
      </c>
      <c r="D7" s="271" t="s">
        <v>997</v>
      </c>
      <c r="E7" s="743">
        <f>VLOOKUP(D7,$B$18:$C$23,2,FALSE)</f>
        <v>1500000</v>
      </c>
      <c r="F7" s="271">
        <v>30</v>
      </c>
      <c r="G7" s="271">
        <v>15</v>
      </c>
      <c r="H7" s="744">
        <f t="shared" ref="H7:H15" si="0">E7/6</f>
        <v>250000</v>
      </c>
      <c r="I7" s="745">
        <f>7500*F7</f>
        <v>225000</v>
      </c>
      <c r="J7" s="745">
        <f>15000*F7</f>
        <v>450000</v>
      </c>
      <c r="K7" s="746">
        <f>85000*G7</f>
        <v>1275000</v>
      </c>
      <c r="L7" s="745">
        <f t="shared" ref="L7:L15" si="1">E7+I7+J7+K7+H7</f>
        <v>3700000</v>
      </c>
      <c r="M7" s="745">
        <f t="shared" ref="M7:M15" si="2">E7/5</f>
        <v>300000</v>
      </c>
      <c r="N7" s="745">
        <f t="shared" ref="N7:N15" si="3">E7/8</f>
        <v>187500</v>
      </c>
      <c r="O7" s="745">
        <f t="shared" ref="O7:O15" si="4">2.5%*E7</f>
        <v>37500</v>
      </c>
      <c r="P7" s="745">
        <f t="shared" ref="P7:P15" si="5">M7+N7-O7</f>
        <v>450000</v>
      </c>
      <c r="Q7" s="747">
        <f t="shared" ref="Q7:Q15" si="6">L7-P7</f>
        <v>3250000</v>
      </c>
    </row>
    <row r="8" spans="1:18">
      <c r="A8" s="431">
        <v>3</v>
      </c>
      <c r="B8" s="271" t="s">
        <v>998</v>
      </c>
      <c r="C8" s="271">
        <v>971127012</v>
      </c>
      <c r="D8" s="271" t="s">
        <v>999</v>
      </c>
      <c r="E8" s="743">
        <f t="shared" ref="E8:E15" si="7">VLOOKUP(D8,$B$18:$C$23,2,FALSE)</f>
        <v>900000</v>
      </c>
      <c r="F8" s="271">
        <v>26</v>
      </c>
      <c r="G8" s="271">
        <v>16</v>
      </c>
      <c r="H8" s="744">
        <f t="shared" si="0"/>
        <v>150000</v>
      </c>
      <c r="I8" s="745">
        <f t="shared" ref="I8:I15" si="8">7500*F8</f>
        <v>195000</v>
      </c>
      <c r="J8" s="745">
        <f t="shared" ref="J8:J15" si="9">15000*F8</f>
        <v>390000</v>
      </c>
      <c r="K8" s="746">
        <f t="shared" ref="K8:K15" si="10">85000*G8</f>
        <v>1360000</v>
      </c>
      <c r="L8" s="745">
        <f t="shared" si="1"/>
        <v>2995000</v>
      </c>
      <c r="M8" s="745">
        <f t="shared" si="2"/>
        <v>180000</v>
      </c>
      <c r="N8" s="745">
        <f t="shared" si="3"/>
        <v>112500</v>
      </c>
      <c r="O8" s="745">
        <f t="shared" si="4"/>
        <v>22500</v>
      </c>
      <c r="P8" s="745">
        <f t="shared" si="5"/>
        <v>270000</v>
      </c>
      <c r="Q8" s="747">
        <f t="shared" si="6"/>
        <v>2725000</v>
      </c>
    </row>
    <row r="9" spans="1:18">
      <c r="A9" s="431">
        <v>4</v>
      </c>
      <c r="B9" s="271" t="s">
        <v>1000</v>
      </c>
      <c r="C9" s="271">
        <v>971126520</v>
      </c>
      <c r="D9" s="271" t="s">
        <v>995</v>
      </c>
      <c r="E9" s="743">
        <f t="shared" si="7"/>
        <v>850000</v>
      </c>
      <c r="F9" s="271">
        <v>24</v>
      </c>
      <c r="G9" s="271">
        <v>1</v>
      </c>
      <c r="H9" s="744">
        <f t="shared" si="0"/>
        <v>141666.66666666666</v>
      </c>
      <c r="I9" s="745">
        <f t="shared" si="8"/>
        <v>180000</v>
      </c>
      <c r="J9" s="745">
        <f t="shared" si="9"/>
        <v>360000</v>
      </c>
      <c r="K9" s="746">
        <f t="shared" si="10"/>
        <v>85000</v>
      </c>
      <c r="L9" s="745">
        <f t="shared" si="1"/>
        <v>1616666.6666666667</v>
      </c>
      <c r="M9" s="745">
        <f t="shared" si="2"/>
        <v>170000</v>
      </c>
      <c r="N9" s="745">
        <f t="shared" si="3"/>
        <v>106250</v>
      </c>
      <c r="O9" s="745">
        <f t="shared" si="4"/>
        <v>21250</v>
      </c>
      <c r="P9" s="745">
        <f t="shared" si="5"/>
        <v>255000</v>
      </c>
      <c r="Q9" s="747">
        <f t="shared" si="6"/>
        <v>1361666.6666666667</v>
      </c>
    </row>
    <row r="10" spans="1:18">
      <c r="A10" s="431">
        <v>5</v>
      </c>
      <c r="B10" s="271" t="s">
        <v>1001</v>
      </c>
      <c r="C10" s="271">
        <v>971127101</v>
      </c>
      <c r="D10" s="271" t="s">
        <v>1002</v>
      </c>
      <c r="E10" s="743">
        <f t="shared" si="7"/>
        <v>1350000</v>
      </c>
      <c r="F10" s="271">
        <v>29</v>
      </c>
      <c r="G10" s="271">
        <v>22</v>
      </c>
      <c r="H10" s="744">
        <f t="shared" si="0"/>
        <v>225000</v>
      </c>
      <c r="I10" s="745">
        <f t="shared" si="8"/>
        <v>217500</v>
      </c>
      <c r="J10" s="745">
        <f t="shared" si="9"/>
        <v>435000</v>
      </c>
      <c r="K10" s="746">
        <f t="shared" si="10"/>
        <v>1870000</v>
      </c>
      <c r="L10" s="745">
        <f t="shared" si="1"/>
        <v>4097500</v>
      </c>
      <c r="M10" s="745">
        <f t="shared" si="2"/>
        <v>270000</v>
      </c>
      <c r="N10" s="745">
        <f t="shared" si="3"/>
        <v>168750</v>
      </c>
      <c r="O10" s="745">
        <f t="shared" si="4"/>
        <v>33750</v>
      </c>
      <c r="P10" s="745">
        <f t="shared" si="5"/>
        <v>405000</v>
      </c>
      <c r="Q10" s="747">
        <f t="shared" si="6"/>
        <v>3692500</v>
      </c>
    </row>
    <row r="11" spans="1:18">
      <c r="A11" s="431">
        <v>6</v>
      </c>
      <c r="B11" s="271" t="s">
        <v>1003</v>
      </c>
      <c r="C11" s="271">
        <v>971117913</v>
      </c>
      <c r="D11" s="271" t="s">
        <v>995</v>
      </c>
      <c r="E11" s="743">
        <f t="shared" si="7"/>
        <v>850000</v>
      </c>
      <c r="F11" s="271">
        <v>28</v>
      </c>
      <c r="G11" s="271">
        <v>9</v>
      </c>
      <c r="H11" s="744">
        <f t="shared" si="0"/>
        <v>141666.66666666666</v>
      </c>
      <c r="I11" s="745">
        <f t="shared" si="8"/>
        <v>210000</v>
      </c>
      <c r="J11" s="745">
        <f t="shared" si="9"/>
        <v>420000</v>
      </c>
      <c r="K11" s="746">
        <f t="shared" si="10"/>
        <v>765000</v>
      </c>
      <c r="L11" s="745">
        <f t="shared" si="1"/>
        <v>2386666.6666666665</v>
      </c>
      <c r="M11" s="745">
        <f t="shared" si="2"/>
        <v>170000</v>
      </c>
      <c r="N11" s="745">
        <f t="shared" si="3"/>
        <v>106250</v>
      </c>
      <c r="O11" s="745">
        <f t="shared" si="4"/>
        <v>21250</v>
      </c>
      <c r="P11" s="745">
        <f t="shared" si="5"/>
        <v>255000</v>
      </c>
      <c r="Q11" s="747">
        <f t="shared" si="6"/>
        <v>2131666.6666666665</v>
      </c>
    </row>
    <row r="12" spans="1:18">
      <c r="A12" s="431">
        <v>7</v>
      </c>
      <c r="B12" s="271" t="s">
        <v>1004</v>
      </c>
      <c r="C12" s="271">
        <v>971127114</v>
      </c>
      <c r="D12" s="271" t="s">
        <v>997</v>
      </c>
      <c r="E12" s="743">
        <f t="shared" si="7"/>
        <v>1500000</v>
      </c>
      <c r="F12" s="271">
        <v>23</v>
      </c>
      <c r="G12" s="271">
        <v>10</v>
      </c>
      <c r="H12" s="744">
        <f t="shared" si="0"/>
        <v>250000</v>
      </c>
      <c r="I12" s="745">
        <f t="shared" si="8"/>
        <v>172500</v>
      </c>
      <c r="J12" s="745">
        <f t="shared" si="9"/>
        <v>345000</v>
      </c>
      <c r="K12" s="746">
        <f t="shared" si="10"/>
        <v>850000</v>
      </c>
      <c r="L12" s="745">
        <f t="shared" si="1"/>
        <v>3117500</v>
      </c>
      <c r="M12" s="745">
        <f t="shared" si="2"/>
        <v>300000</v>
      </c>
      <c r="N12" s="745">
        <f t="shared" si="3"/>
        <v>187500</v>
      </c>
      <c r="O12" s="745">
        <f t="shared" si="4"/>
        <v>37500</v>
      </c>
      <c r="P12" s="745">
        <f t="shared" si="5"/>
        <v>450000</v>
      </c>
      <c r="Q12" s="747">
        <f t="shared" si="6"/>
        <v>2667500</v>
      </c>
    </row>
    <row r="13" spans="1:18">
      <c r="A13" s="431">
        <v>8</v>
      </c>
      <c r="B13" s="271" t="s">
        <v>1005</v>
      </c>
      <c r="C13" s="271">
        <v>971126520</v>
      </c>
      <c r="D13" s="271" t="s">
        <v>1006</v>
      </c>
      <c r="E13" s="743">
        <f t="shared" si="7"/>
        <v>950000</v>
      </c>
      <c r="F13" s="271">
        <v>27</v>
      </c>
      <c r="G13" s="271">
        <v>23</v>
      </c>
      <c r="H13" s="744">
        <f t="shared" si="0"/>
        <v>158333.33333333334</v>
      </c>
      <c r="I13" s="745">
        <f t="shared" si="8"/>
        <v>202500</v>
      </c>
      <c r="J13" s="745">
        <f t="shared" si="9"/>
        <v>405000</v>
      </c>
      <c r="K13" s="746">
        <f t="shared" si="10"/>
        <v>1955000</v>
      </c>
      <c r="L13" s="745">
        <f t="shared" si="1"/>
        <v>3670833.3333333335</v>
      </c>
      <c r="M13" s="745">
        <f t="shared" si="2"/>
        <v>190000</v>
      </c>
      <c r="N13" s="745">
        <f t="shared" si="3"/>
        <v>118750</v>
      </c>
      <c r="O13" s="745">
        <f t="shared" si="4"/>
        <v>23750</v>
      </c>
      <c r="P13" s="745">
        <f t="shared" si="5"/>
        <v>285000</v>
      </c>
      <c r="Q13" s="747">
        <f t="shared" si="6"/>
        <v>3385833.3333333335</v>
      </c>
    </row>
    <row r="14" spans="1:18">
      <c r="A14" s="431">
        <v>9</v>
      </c>
      <c r="B14" s="271" t="s">
        <v>1007</v>
      </c>
      <c r="C14" s="271">
        <v>971127014</v>
      </c>
      <c r="D14" s="271" t="s">
        <v>995</v>
      </c>
      <c r="E14" s="743">
        <f t="shared" si="7"/>
        <v>850000</v>
      </c>
      <c r="F14" s="271">
        <v>2</v>
      </c>
      <c r="G14" s="271">
        <v>4</v>
      </c>
      <c r="H14" s="744">
        <f t="shared" si="0"/>
        <v>141666.66666666666</v>
      </c>
      <c r="I14" s="745">
        <f t="shared" si="8"/>
        <v>15000</v>
      </c>
      <c r="J14" s="745">
        <f t="shared" si="9"/>
        <v>30000</v>
      </c>
      <c r="K14" s="746">
        <f t="shared" si="10"/>
        <v>340000</v>
      </c>
      <c r="L14" s="745">
        <f t="shared" si="1"/>
        <v>1376666.6666666667</v>
      </c>
      <c r="M14" s="745">
        <f t="shared" si="2"/>
        <v>170000</v>
      </c>
      <c r="N14" s="745">
        <f t="shared" si="3"/>
        <v>106250</v>
      </c>
      <c r="O14" s="745">
        <f t="shared" si="4"/>
        <v>21250</v>
      </c>
      <c r="P14" s="745">
        <f t="shared" si="5"/>
        <v>255000</v>
      </c>
      <c r="Q14" s="747">
        <f t="shared" si="6"/>
        <v>1121666.6666666667</v>
      </c>
    </row>
    <row r="15" spans="1:18" ht="13.8" thickBot="1">
      <c r="A15" s="432">
        <v>10</v>
      </c>
      <c r="B15" s="433" t="s">
        <v>1008</v>
      </c>
      <c r="C15" s="433">
        <v>971127101</v>
      </c>
      <c r="D15" s="433" t="s">
        <v>1002</v>
      </c>
      <c r="E15" s="743">
        <f t="shared" si="7"/>
        <v>1350000</v>
      </c>
      <c r="F15" s="433">
        <v>30</v>
      </c>
      <c r="G15" s="433">
        <v>0</v>
      </c>
      <c r="H15" s="744">
        <f t="shared" si="0"/>
        <v>225000</v>
      </c>
      <c r="I15" s="745">
        <f t="shared" si="8"/>
        <v>225000</v>
      </c>
      <c r="J15" s="745">
        <f t="shared" si="9"/>
        <v>450000</v>
      </c>
      <c r="K15" s="746">
        <f t="shared" si="10"/>
        <v>0</v>
      </c>
      <c r="L15" s="745">
        <f t="shared" si="1"/>
        <v>2250000</v>
      </c>
      <c r="M15" s="745">
        <f t="shared" si="2"/>
        <v>270000</v>
      </c>
      <c r="N15" s="745">
        <f t="shared" si="3"/>
        <v>168750</v>
      </c>
      <c r="O15" s="745">
        <f t="shared" si="4"/>
        <v>33750</v>
      </c>
      <c r="P15" s="745">
        <f t="shared" si="5"/>
        <v>405000</v>
      </c>
      <c r="Q15" s="747">
        <f t="shared" si="6"/>
        <v>1845000</v>
      </c>
    </row>
    <row r="16" spans="1:18" ht="13.8" thickTop="1"/>
    <row r="17" spans="2:16" ht="13.8" thickBot="1">
      <c r="E17" s="13" t="s">
        <v>1106</v>
      </c>
    </row>
    <row r="18" spans="2:16" ht="13.8" thickTop="1">
      <c r="B18" s="436" t="s">
        <v>981</v>
      </c>
      <c r="C18" s="437" t="s">
        <v>1009</v>
      </c>
      <c r="D18">
        <v>1</v>
      </c>
      <c r="E18" s="52" t="s">
        <v>1107</v>
      </c>
      <c r="I18">
        <v>6</v>
      </c>
      <c r="J18" s="52" t="s">
        <v>897</v>
      </c>
      <c r="L18" s="52" t="s">
        <v>675</v>
      </c>
      <c r="N18">
        <v>11</v>
      </c>
      <c r="O18" s="52" t="s">
        <v>1123</v>
      </c>
      <c r="P18" s="52" t="s">
        <v>1124</v>
      </c>
    </row>
    <row r="19" spans="2:16">
      <c r="B19" s="434" t="s">
        <v>995</v>
      </c>
      <c r="C19" s="748">
        <v>850000</v>
      </c>
      <c r="D19">
        <v>2</v>
      </c>
      <c r="E19" s="52" t="s">
        <v>1108</v>
      </c>
      <c r="F19" s="52" t="s">
        <v>1109</v>
      </c>
      <c r="I19">
        <v>7</v>
      </c>
      <c r="J19" s="52" t="s">
        <v>1116</v>
      </c>
      <c r="L19" s="52" t="s">
        <v>1119</v>
      </c>
    </row>
    <row r="20" spans="2:16">
      <c r="B20" s="434" t="s">
        <v>999</v>
      </c>
      <c r="C20" s="748">
        <v>900000</v>
      </c>
      <c r="D20">
        <v>3</v>
      </c>
      <c r="E20" s="52" t="s">
        <v>1110</v>
      </c>
      <c r="F20" s="52" t="s">
        <v>1111</v>
      </c>
      <c r="I20">
        <v>8</v>
      </c>
      <c r="J20" s="52" t="s">
        <v>1117</v>
      </c>
      <c r="L20" s="52" t="s">
        <v>1120</v>
      </c>
    </row>
    <row r="21" spans="2:16">
      <c r="B21" s="434" t="s">
        <v>1006</v>
      </c>
      <c r="C21" s="748">
        <v>950000</v>
      </c>
      <c r="D21">
        <v>4</v>
      </c>
      <c r="E21" s="52" t="s">
        <v>1112</v>
      </c>
      <c r="F21" s="52" t="s">
        <v>1113</v>
      </c>
      <c r="I21">
        <v>9</v>
      </c>
      <c r="J21" s="52" t="s">
        <v>74</v>
      </c>
      <c r="L21" s="52" t="s">
        <v>1121</v>
      </c>
    </row>
    <row r="22" spans="2:16">
      <c r="B22" s="434" t="s">
        <v>1002</v>
      </c>
      <c r="C22" s="748">
        <v>1350000</v>
      </c>
      <c r="D22">
        <v>5</v>
      </c>
      <c r="E22" s="52" t="s">
        <v>1114</v>
      </c>
      <c r="F22" s="52" t="s">
        <v>1115</v>
      </c>
      <c r="I22">
        <v>10</v>
      </c>
      <c r="J22" s="52" t="s">
        <v>1118</v>
      </c>
      <c r="L22" s="52" t="s">
        <v>1122</v>
      </c>
    </row>
    <row r="23" spans="2:16" ht="13.8" thickBot="1">
      <c r="B23" s="435" t="s">
        <v>997</v>
      </c>
      <c r="C23" s="749">
        <v>1500000</v>
      </c>
    </row>
    <row r="24" spans="2:16" ht="13.8" thickTop="1"/>
  </sheetData>
  <mergeCells count="14">
    <mergeCell ref="A1:R1"/>
    <mergeCell ref="A2:R2"/>
    <mergeCell ref="A3:R3"/>
    <mergeCell ref="A4:A5"/>
    <mergeCell ref="B4:B5"/>
    <mergeCell ref="C4:C5"/>
    <mergeCell ref="D4:D5"/>
    <mergeCell ref="E4:E5"/>
    <mergeCell ref="F4:G4"/>
    <mergeCell ref="H4:K4"/>
    <mergeCell ref="L4:L5"/>
    <mergeCell ref="M4:O4"/>
    <mergeCell ref="P4:P5"/>
    <mergeCell ref="Q4:Q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6"/>
  <sheetViews>
    <sheetView topLeftCell="A8" workbookViewId="0">
      <selection activeCell="I18" sqref="I18"/>
    </sheetView>
  </sheetViews>
  <sheetFormatPr defaultRowHeight="13.2"/>
  <cols>
    <col min="1" max="1" width="15.5546875" customWidth="1"/>
    <col min="2" max="2" width="24.6640625" bestFit="1" customWidth="1"/>
    <col min="3" max="3" width="21.6640625" customWidth="1"/>
    <col min="4" max="4" width="10.109375" customWidth="1"/>
    <col min="5" max="5" width="10.6640625" customWidth="1"/>
    <col min="6" max="6" width="13.88671875" customWidth="1"/>
    <col min="7" max="7" width="12" customWidth="1"/>
    <col min="8" max="8" width="11.5546875" customWidth="1"/>
    <col min="9" max="9" width="24.44140625" customWidth="1"/>
    <col min="10" max="10" width="14.6640625" customWidth="1"/>
  </cols>
  <sheetData>
    <row r="1" spans="1:14" ht="21">
      <c r="A1" s="664" t="s">
        <v>1010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</row>
    <row r="2" spans="1:14" ht="21">
      <c r="A2" s="664" t="s">
        <v>1011</v>
      </c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</row>
    <row r="3" spans="1:14">
      <c r="A3" s="666"/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</row>
    <row r="4" spans="1:14" ht="15" thickBot="1">
      <c r="A4" s="732" t="s">
        <v>1012</v>
      </c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  <c r="N4" s="732"/>
    </row>
    <row r="5" spans="1:14" ht="14.4" thickTop="1" thickBot="1">
      <c r="A5" s="438" t="s">
        <v>329</v>
      </c>
      <c r="B5" s="439" t="s">
        <v>1013</v>
      </c>
      <c r="C5" s="440" t="s">
        <v>1014</v>
      </c>
    </row>
    <row r="6" spans="1:14" ht="13.8" thickTop="1">
      <c r="A6" s="441" t="s">
        <v>1015</v>
      </c>
      <c r="B6" s="442" t="s">
        <v>1016</v>
      </c>
      <c r="C6" s="443">
        <v>1000000</v>
      </c>
    </row>
    <row r="7" spans="1:14">
      <c r="A7" s="444" t="s">
        <v>1017</v>
      </c>
      <c r="B7" s="445" t="s">
        <v>1018</v>
      </c>
      <c r="C7" s="446">
        <v>1500000</v>
      </c>
    </row>
    <row r="8" spans="1:14">
      <c r="A8" s="444" t="s">
        <v>1019</v>
      </c>
      <c r="B8" s="445" t="s">
        <v>1020</v>
      </c>
      <c r="C8" s="446">
        <v>1330000</v>
      </c>
    </row>
    <row r="9" spans="1:14" ht="13.8" thickBot="1">
      <c r="A9" s="447" t="s">
        <v>1021</v>
      </c>
      <c r="B9" s="448" t="s">
        <v>1022</v>
      </c>
      <c r="C9" s="449">
        <v>700000</v>
      </c>
    </row>
    <row r="10" spans="1:14" ht="13.8" thickTop="1"/>
    <row r="11" spans="1:14" ht="15" thickBot="1">
      <c r="A11" s="732" t="s">
        <v>1023</v>
      </c>
      <c r="B11" s="732"/>
      <c r="C11" s="732"/>
      <c r="D11" s="732"/>
      <c r="E11" s="732"/>
      <c r="F11" s="732"/>
      <c r="G11" s="732"/>
      <c r="H11" s="732"/>
      <c r="I11" s="732"/>
      <c r="J11" s="732"/>
      <c r="K11" s="732"/>
      <c r="L11" s="732"/>
      <c r="M11" s="732"/>
      <c r="N11" s="732"/>
    </row>
    <row r="12" spans="1:14" ht="13.8" thickTop="1">
      <c r="A12" s="450" t="s">
        <v>329</v>
      </c>
      <c r="B12" s="453" t="s">
        <v>1024</v>
      </c>
      <c r="C12" s="454" t="s">
        <v>1025</v>
      </c>
      <c r="D12" s="454" t="s">
        <v>1026</v>
      </c>
      <c r="E12" s="455" t="s">
        <v>1027</v>
      </c>
    </row>
    <row r="13" spans="1:14">
      <c r="A13" s="451" t="s">
        <v>1028</v>
      </c>
      <c r="B13" s="456" t="s">
        <v>1029</v>
      </c>
      <c r="C13" s="457" t="s">
        <v>1030</v>
      </c>
      <c r="D13" s="457" t="s">
        <v>1031</v>
      </c>
      <c r="E13" s="458" t="s">
        <v>1032</v>
      </c>
    </row>
    <row r="14" spans="1:14" ht="13.8" thickBot="1">
      <c r="A14" s="452" t="s">
        <v>338</v>
      </c>
      <c r="B14" s="459">
        <v>0.02</v>
      </c>
      <c r="C14" s="460">
        <v>0.02</v>
      </c>
      <c r="D14" s="460">
        <v>0.05</v>
      </c>
      <c r="E14" s="461">
        <v>0.05</v>
      </c>
    </row>
    <row r="15" spans="1:14" ht="13.8" thickTop="1"/>
    <row r="16" spans="1:14" ht="15" thickBot="1">
      <c r="A16" s="732" t="s">
        <v>1033</v>
      </c>
      <c r="B16" s="732"/>
      <c r="C16" s="732"/>
      <c r="D16" s="732"/>
      <c r="E16" s="732"/>
      <c r="F16" s="732"/>
      <c r="G16" s="732"/>
      <c r="H16" s="732"/>
      <c r="I16" s="732"/>
      <c r="J16" s="732"/>
      <c r="K16" s="732"/>
      <c r="L16" s="732"/>
      <c r="M16" s="732"/>
      <c r="N16" s="732"/>
    </row>
    <row r="17" spans="1:10" ht="27.6" thickTop="1" thickBot="1">
      <c r="A17" s="462" t="s">
        <v>329</v>
      </c>
      <c r="B17" s="463" t="s">
        <v>1034</v>
      </c>
      <c r="C17" s="463" t="s">
        <v>1013</v>
      </c>
      <c r="D17" s="464" t="s">
        <v>1028</v>
      </c>
      <c r="E17" s="463" t="s">
        <v>736</v>
      </c>
      <c r="F17" s="463" t="s">
        <v>1035</v>
      </c>
      <c r="G17" s="463" t="s">
        <v>338</v>
      </c>
      <c r="H17" s="463" t="s">
        <v>1036</v>
      </c>
      <c r="I17" s="563" t="s">
        <v>1156</v>
      </c>
      <c r="J17" s="565" t="s">
        <v>1157</v>
      </c>
    </row>
    <row r="18" spans="1:10" ht="14.4" thickTop="1" thickBot="1">
      <c r="A18" s="465" t="s">
        <v>1037</v>
      </c>
      <c r="B18" s="466" t="s">
        <v>1038</v>
      </c>
      <c r="C18" s="467" t="str">
        <f>VLOOKUP(LEFT(A18,5),$A$5:$C$9,2,0)</f>
        <v>PADANG - JAKARTA</v>
      </c>
      <c r="D18" s="467" t="str">
        <f>HLOOKUP(RIGHT(A18,2),$A$12:$E$14,2,0)</f>
        <v>GARUDA</v>
      </c>
      <c r="E18" s="467" t="str">
        <f>IF(MID(A18,7,2)="01","VIP",IF(MID(A18,7,2)="02","BISNIS","EKONOMI"))</f>
        <v>VIP</v>
      </c>
      <c r="F18" s="468">
        <f>VLOOKUP(LEFT(A18,5),$A$5:$C$9,3,0)</f>
        <v>1000000</v>
      </c>
      <c r="G18" s="750">
        <f>HLOOKUP(RIGHT(A18,2),$A$12:$E$14,3,0)</f>
        <v>0.02</v>
      </c>
      <c r="H18" s="466" t="str">
        <f>IF(OR(E18="VIP",E18="BISNIS"),"KAOS","TOPI")</f>
        <v>KAOS</v>
      </c>
      <c r="I18" s="564">
        <f>F18*G18</f>
        <v>20000</v>
      </c>
      <c r="J18" s="566">
        <f>F18-I18</f>
        <v>980000</v>
      </c>
    </row>
    <row r="19" spans="1:10" ht="14.4" thickTop="1" thickBot="1">
      <c r="A19" s="469" t="s">
        <v>1039</v>
      </c>
      <c r="B19" s="470" t="s">
        <v>1040</v>
      </c>
      <c r="C19" s="467" t="str">
        <f t="shared" ref="C19:C25" si="0">VLOOKUP(LEFT(A19,5),$A$5:$C$9,2,0)</f>
        <v>YOGYA - PADANG</v>
      </c>
      <c r="D19" s="467" t="str">
        <f t="shared" ref="D19:D25" si="1">HLOOKUP(RIGHT(A19,2),$A$12:$E$14,2,0)</f>
        <v>SIMPATI</v>
      </c>
      <c r="E19" s="467" t="str">
        <f t="shared" ref="E19:E25" si="2">IF(MID(A19,7,2)="01","VIP",IF(MID(A19,7,2)="02","BISNIS","EKONOMI"))</f>
        <v>EKONOMI</v>
      </c>
      <c r="F19" s="468">
        <f t="shared" ref="F19:F25" si="3">VLOOKUP(LEFT(A19,5),$A$5:$C$9,3,0)</f>
        <v>1500000</v>
      </c>
      <c r="G19" s="750">
        <f t="shared" ref="G19:G25" si="4">HLOOKUP(RIGHT(A19,2),$A$12:$E$14,3,0)</f>
        <v>0.02</v>
      </c>
      <c r="H19" s="466" t="str">
        <f t="shared" ref="H19:H25" si="5">IF(OR(E19="VIP",E19="BISNIS"),"KAOS","TOPI")</f>
        <v>TOPI</v>
      </c>
      <c r="I19" s="564">
        <f t="shared" ref="I19:I25" si="6">F19*G19</f>
        <v>30000</v>
      </c>
      <c r="J19" s="566">
        <f t="shared" ref="J19:J25" si="7">F19-I19</f>
        <v>1470000</v>
      </c>
    </row>
    <row r="20" spans="1:10" ht="14.4" thickTop="1" thickBot="1">
      <c r="A20" s="469" t="s">
        <v>1041</v>
      </c>
      <c r="B20" s="470" t="s">
        <v>1042</v>
      </c>
      <c r="C20" s="467" t="str">
        <f t="shared" si="0"/>
        <v>SURABAYA - PADANG</v>
      </c>
      <c r="D20" s="467" t="str">
        <f t="shared" si="1"/>
        <v>GARUDA</v>
      </c>
      <c r="E20" s="467" t="str">
        <f t="shared" si="2"/>
        <v>BISNIS</v>
      </c>
      <c r="F20" s="468">
        <f t="shared" si="3"/>
        <v>1330000</v>
      </c>
      <c r="G20" s="750">
        <f t="shared" si="4"/>
        <v>0.02</v>
      </c>
      <c r="H20" s="466" t="str">
        <f t="shared" si="5"/>
        <v>KAOS</v>
      </c>
      <c r="I20" s="564">
        <f t="shared" si="6"/>
        <v>26600</v>
      </c>
      <c r="J20" s="566">
        <f t="shared" si="7"/>
        <v>1303400</v>
      </c>
    </row>
    <row r="21" spans="1:10" ht="14.4" thickTop="1" thickBot="1">
      <c r="A21" s="469" t="s">
        <v>1043</v>
      </c>
      <c r="B21" s="470" t="s">
        <v>1044</v>
      </c>
      <c r="C21" s="467" t="str">
        <f t="shared" si="0"/>
        <v>MEDAN - PADANG</v>
      </c>
      <c r="D21" s="467" t="str">
        <f t="shared" si="1"/>
        <v>BURAQ</v>
      </c>
      <c r="E21" s="467" t="str">
        <f t="shared" si="2"/>
        <v>BISNIS</v>
      </c>
      <c r="F21" s="468">
        <f t="shared" si="3"/>
        <v>700000</v>
      </c>
      <c r="G21" s="750">
        <f t="shared" si="4"/>
        <v>0.05</v>
      </c>
      <c r="H21" s="466" t="str">
        <f t="shared" si="5"/>
        <v>KAOS</v>
      </c>
      <c r="I21" s="564">
        <f t="shared" si="6"/>
        <v>35000</v>
      </c>
      <c r="J21" s="566">
        <f t="shared" si="7"/>
        <v>665000</v>
      </c>
    </row>
    <row r="22" spans="1:10" ht="14.4" thickTop="1" thickBot="1">
      <c r="A22" s="469" t="s">
        <v>1039</v>
      </c>
      <c r="B22" s="470" t="s">
        <v>1045</v>
      </c>
      <c r="C22" s="467" t="str">
        <f t="shared" si="0"/>
        <v>YOGYA - PADANG</v>
      </c>
      <c r="D22" s="467" t="str">
        <f t="shared" si="1"/>
        <v>SIMPATI</v>
      </c>
      <c r="E22" s="467" t="str">
        <f t="shared" si="2"/>
        <v>EKONOMI</v>
      </c>
      <c r="F22" s="468">
        <f t="shared" si="3"/>
        <v>1500000</v>
      </c>
      <c r="G22" s="750">
        <f t="shared" si="4"/>
        <v>0.02</v>
      </c>
      <c r="H22" s="466" t="str">
        <f t="shared" si="5"/>
        <v>TOPI</v>
      </c>
      <c r="I22" s="564">
        <f t="shared" si="6"/>
        <v>30000</v>
      </c>
      <c r="J22" s="566">
        <f t="shared" si="7"/>
        <v>1470000</v>
      </c>
    </row>
    <row r="23" spans="1:10" ht="14.4" thickTop="1" thickBot="1">
      <c r="A23" s="469" t="s">
        <v>1041</v>
      </c>
      <c r="B23" s="470" t="s">
        <v>1046</v>
      </c>
      <c r="C23" s="467" t="str">
        <f t="shared" si="0"/>
        <v>SURABAYA - PADANG</v>
      </c>
      <c r="D23" s="467" t="str">
        <f t="shared" si="1"/>
        <v>GARUDA</v>
      </c>
      <c r="E23" s="467" t="str">
        <f t="shared" si="2"/>
        <v>BISNIS</v>
      </c>
      <c r="F23" s="468">
        <f t="shared" si="3"/>
        <v>1330000</v>
      </c>
      <c r="G23" s="750">
        <f t="shared" si="4"/>
        <v>0.02</v>
      </c>
      <c r="H23" s="466" t="str">
        <f t="shared" si="5"/>
        <v>KAOS</v>
      </c>
      <c r="I23" s="564">
        <f t="shared" si="6"/>
        <v>26600</v>
      </c>
      <c r="J23" s="566">
        <f t="shared" si="7"/>
        <v>1303400</v>
      </c>
    </row>
    <row r="24" spans="1:10" ht="14.4" thickTop="1" thickBot="1">
      <c r="A24" s="469" t="s">
        <v>1041</v>
      </c>
      <c r="B24" s="470" t="s">
        <v>1047</v>
      </c>
      <c r="C24" s="467" t="str">
        <f t="shared" si="0"/>
        <v>SURABAYA - PADANG</v>
      </c>
      <c r="D24" s="467" t="str">
        <f t="shared" si="1"/>
        <v>GARUDA</v>
      </c>
      <c r="E24" s="467" t="str">
        <f t="shared" si="2"/>
        <v>BISNIS</v>
      </c>
      <c r="F24" s="468">
        <f t="shared" si="3"/>
        <v>1330000</v>
      </c>
      <c r="G24" s="750">
        <f t="shared" si="4"/>
        <v>0.02</v>
      </c>
      <c r="H24" s="466" t="str">
        <f t="shared" si="5"/>
        <v>KAOS</v>
      </c>
      <c r="I24" s="564">
        <f t="shared" si="6"/>
        <v>26600</v>
      </c>
      <c r="J24" s="566">
        <f t="shared" si="7"/>
        <v>1303400</v>
      </c>
    </row>
    <row r="25" spans="1:10" ht="14.4" thickTop="1" thickBot="1">
      <c r="A25" s="471" t="s">
        <v>1043</v>
      </c>
      <c r="B25" s="472" t="s">
        <v>1048</v>
      </c>
      <c r="C25" s="467" t="str">
        <f t="shared" si="0"/>
        <v>MEDAN - PADANG</v>
      </c>
      <c r="D25" s="467" t="str">
        <f t="shared" si="1"/>
        <v>BURAQ</v>
      </c>
      <c r="E25" s="467" t="str">
        <f t="shared" si="2"/>
        <v>BISNIS</v>
      </c>
      <c r="F25" s="468">
        <f t="shared" si="3"/>
        <v>700000</v>
      </c>
      <c r="G25" s="750">
        <f t="shared" si="4"/>
        <v>0.05</v>
      </c>
      <c r="H25" s="466" t="str">
        <f t="shared" si="5"/>
        <v>KAOS</v>
      </c>
      <c r="I25" s="564">
        <f t="shared" si="6"/>
        <v>35000</v>
      </c>
      <c r="J25" s="566">
        <f t="shared" si="7"/>
        <v>665000</v>
      </c>
    </row>
    <row r="26" spans="1:10" ht="13.8" thickTop="1"/>
    <row r="28" spans="1:10">
      <c r="A28" s="52" t="s">
        <v>1106</v>
      </c>
    </row>
    <row r="29" spans="1:10">
      <c r="A29">
        <v>1</v>
      </c>
      <c r="B29" s="52" t="s">
        <v>1132</v>
      </c>
    </row>
    <row r="30" spans="1:10">
      <c r="A30">
        <v>2</v>
      </c>
      <c r="B30" s="52" t="s">
        <v>1132</v>
      </c>
    </row>
    <row r="31" spans="1:10">
      <c r="A31">
        <v>3</v>
      </c>
      <c r="B31" s="52" t="s">
        <v>1133</v>
      </c>
    </row>
    <row r="32" spans="1:10">
      <c r="A32">
        <v>4</v>
      </c>
      <c r="B32" s="52" t="s">
        <v>1134</v>
      </c>
    </row>
    <row r="33" spans="1:2">
      <c r="A33">
        <v>5</v>
      </c>
      <c r="B33" s="52" t="s">
        <v>1135</v>
      </c>
    </row>
    <row r="34" spans="1:2">
      <c r="A34">
        <v>6</v>
      </c>
      <c r="B34" s="52" t="s">
        <v>1136</v>
      </c>
    </row>
    <row r="35" spans="1:2">
      <c r="A35">
        <v>7</v>
      </c>
      <c r="B35" s="52" t="s">
        <v>1137</v>
      </c>
    </row>
    <row r="36" spans="1:2">
      <c r="A36">
        <v>8</v>
      </c>
      <c r="B36" s="52" t="s">
        <v>1138</v>
      </c>
    </row>
  </sheetData>
  <mergeCells count="6">
    <mergeCell ref="A16:N16"/>
    <mergeCell ref="A1:N1"/>
    <mergeCell ref="A2:N2"/>
    <mergeCell ref="A3:N3"/>
    <mergeCell ref="A4:N4"/>
    <mergeCell ref="A11:N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4"/>
  <sheetViews>
    <sheetView workbookViewId="0">
      <selection activeCell="L9" sqref="L9"/>
    </sheetView>
  </sheetViews>
  <sheetFormatPr defaultRowHeight="13.2"/>
  <cols>
    <col min="1" max="1" width="5.6640625" customWidth="1"/>
    <col min="2" max="2" width="17.44140625" customWidth="1"/>
    <col min="3" max="3" width="15" bestFit="1" customWidth="1"/>
    <col min="4" max="4" width="16.109375" bestFit="1" customWidth="1"/>
    <col min="6" max="6" width="13.109375" customWidth="1"/>
    <col min="7" max="7" width="12.77734375" customWidth="1"/>
    <col min="8" max="8" width="10.6640625" customWidth="1"/>
    <col min="10" max="10" width="14.44140625" customWidth="1"/>
  </cols>
  <sheetData>
    <row r="1" spans="1:11" ht="18">
      <c r="A1" s="733" t="s">
        <v>1049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</row>
    <row r="2" spans="1:11" ht="21">
      <c r="A2" s="734" t="s">
        <v>1050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</row>
    <row r="3" spans="1:11" ht="15.6">
      <c r="A3" s="735" t="s">
        <v>1051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</row>
    <row r="4" spans="1:11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</row>
    <row r="5" spans="1:11" ht="30" customHeight="1">
      <c r="A5" s="473" t="s">
        <v>556</v>
      </c>
      <c r="B5" s="473" t="s">
        <v>557</v>
      </c>
      <c r="C5" s="473" t="s">
        <v>559</v>
      </c>
      <c r="D5" s="474" t="s">
        <v>1052</v>
      </c>
      <c r="E5" s="473" t="s">
        <v>682</v>
      </c>
      <c r="F5" s="474" t="s">
        <v>1053</v>
      </c>
      <c r="G5" s="474" t="s">
        <v>1054</v>
      </c>
      <c r="H5" s="473" t="s">
        <v>563</v>
      </c>
      <c r="I5" s="474" t="s">
        <v>564</v>
      </c>
      <c r="J5" s="474" t="s">
        <v>1055</v>
      </c>
    </row>
    <row r="6" spans="1:11">
      <c r="A6" s="400">
        <v>1</v>
      </c>
      <c r="B6" s="576" t="s">
        <v>1158</v>
      </c>
      <c r="C6" s="400" t="str">
        <f t="shared" ref="C6:C20" si="0">VLOOKUP(MID(B6,5,2),BARANG,2,FALSE)</f>
        <v>AGENDA</v>
      </c>
      <c r="D6" s="475">
        <v>38626</v>
      </c>
      <c r="E6" s="346" t="str">
        <f>HLOOKUP(LEFT(B6,3),$F$22:$I$24,2,FALSE)</f>
        <v>BUKU</v>
      </c>
      <c r="F6" s="400">
        <v>12</v>
      </c>
      <c r="G6" s="751">
        <f t="shared" ref="G6:G20" si="1">VLOOKUP(MID(B6,5,2),BARANG,3,FALSE)</f>
        <v>15000</v>
      </c>
      <c r="H6" s="478">
        <f>HLOOKUP(LEFT(B6,3),$F$22:$I$24,3,FALSE)</f>
        <v>0.1</v>
      </c>
      <c r="I6" s="346">
        <f>F6*G6</f>
        <v>180000</v>
      </c>
      <c r="J6" s="751">
        <f>I6*H6</f>
        <v>18000</v>
      </c>
    </row>
    <row r="7" spans="1:11">
      <c r="A7" s="400">
        <v>2</v>
      </c>
      <c r="B7" s="576" t="s">
        <v>1160</v>
      </c>
      <c r="C7" s="400" t="str">
        <f t="shared" si="0"/>
        <v>QUARTO</v>
      </c>
      <c r="D7" s="475">
        <v>38627</v>
      </c>
      <c r="E7" s="346" t="str">
        <f t="shared" ref="E7:E20" si="2">HLOOKUP(LEFT(B7,3),$F$22:$I$24,2,FALSE)</f>
        <v>KERTAS</v>
      </c>
      <c r="F7" s="400">
        <v>23</v>
      </c>
      <c r="G7" s="751">
        <f t="shared" si="1"/>
        <v>22500</v>
      </c>
      <c r="H7" s="478">
        <f t="shared" ref="H7:H20" si="3">HLOOKUP(LEFT(B7,3),$F$22:$I$24,3,FALSE)</f>
        <v>0.15</v>
      </c>
      <c r="I7" s="346">
        <f t="shared" ref="I7:I20" si="4">F7*G7</f>
        <v>517500</v>
      </c>
      <c r="J7" s="751">
        <f t="shared" ref="J7:J20" si="5">I7*H7</f>
        <v>77625</v>
      </c>
    </row>
    <row r="8" spans="1:11">
      <c r="A8" s="400">
        <v>3</v>
      </c>
      <c r="B8" s="576" t="s">
        <v>1161</v>
      </c>
      <c r="C8" s="400" t="str">
        <f t="shared" si="0"/>
        <v>B.INGGRIS</v>
      </c>
      <c r="D8" s="475">
        <v>38628</v>
      </c>
      <c r="E8" s="346" t="str">
        <f t="shared" si="2"/>
        <v>BUKU</v>
      </c>
      <c r="F8" s="400">
        <v>34</v>
      </c>
      <c r="G8" s="751">
        <f t="shared" si="1"/>
        <v>15000</v>
      </c>
      <c r="H8" s="478">
        <f t="shared" si="3"/>
        <v>0.1</v>
      </c>
      <c r="I8" s="346">
        <f t="shared" si="4"/>
        <v>510000</v>
      </c>
      <c r="J8" s="751">
        <f t="shared" si="5"/>
        <v>51000</v>
      </c>
    </row>
    <row r="9" spans="1:11">
      <c r="A9" s="400">
        <v>4</v>
      </c>
      <c r="B9" s="576" t="s">
        <v>1162</v>
      </c>
      <c r="C9" s="400" t="str">
        <f t="shared" si="0"/>
        <v>BOXY</v>
      </c>
      <c r="D9" s="475">
        <v>38629</v>
      </c>
      <c r="E9" s="346" t="str">
        <f t="shared" si="2"/>
        <v>ALAT TULIS</v>
      </c>
      <c r="F9" s="400">
        <v>51</v>
      </c>
      <c r="G9" s="751">
        <f t="shared" si="1"/>
        <v>7000</v>
      </c>
      <c r="H9" s="478">
        <f t="shared" si="3"/>
        <v>0.25</v>
      </c>
      <c r="I9" s="346">
        <f t="shared" si="4"/>
        <v>357000</v>
      </c>
      <c r="J9" s="751">
        <f t="shared" si="5"/>
        <v>89250</v>
      </c>
    </row>
    <row r="10" spans="1:11">
      <c r="A10" s="400">
        <v>5</v>
      </c>
      <c r="B10" s="576" t="s">
        <v>1163</v>
      </c>
      <c r="C10" s="400" t="str">
        <f t="shared" si="0"/>
        <v>EKONOMI</v>
      </c>
      <c r="D10" s="475">
        <v>38630</v>
      </c>
      <c r="E10" s="346" t="str">
        <f t="shared" si="2"/>
        <v>BUKU</v>
      </c>
      <c r="F10" s="400">
        <v>26</v>
      </c>
      <c r="G10" s="751">
        <f t="shared" si="1"/>
        <v>45000</v>
      </c>
      <c r="H10" s="478">
        <f t="shared" si="3"/>
        <v>0.1</v>
      </c>
      <c r="I10" s="346">
        <f t="shared" si="4"/>
        <v>1170000</v>
      </c>
      <c r="J10" s="751">
        <f t="shared" si="5"/>
        <v>117000</v>
      </c>
    </row>
    <row r="11" spans="1:11">
      <c r="A11" s="400">
        <v>6</v>
      </c>
      <c r="B11" s="576" t="s">
        <v>1164</v>
      </c>
      <c r="C11" s="400" t="str">
        <f t="shared" si="0"/>
        <v>PILOT</v>
      </c>
      <c r="D11" s="475">
        <v>38631</v>
      </c>
      <c r="E11" s="346" t="str">
        <f t="shared" si="2"/>
        <v>ALAT TULIS</v>
      </c>
      <c r="F11" s="400">
        <v>19</v>
      </c>
      <c r="G11" s="751">
        <f t="shared" si="1"/>
        <v>6000</v>
      </c>
      <c r="H11" s="478">
        <f t="shared" si="3"/>
        <v>0.25</v>
      </c>
      <c r="I11" s="346">
        <f t="shared" si="4"/>
        <v>114000</v>
      </c>
      <c r="J11" s="751">
        <f t="shared" si="5"/>
        <v>28500</v>
      </c>
    </row>
    <row r="12" spans="1:11">
      <c r="A12" s="400">
        <v>7</v>
      </c>
      <c r="B12" s="576" t="s">
        <v>1165</v>
      </c>
      <c r="C12" s="400" t="str">
        <f t="shared" si="0"/>
        <v>FOLIO</v>
      </c>
      <c r="D12" s="475">
        <v>38632</v>
      </c>
      <c r="E12" s="346" t="str">
        <f t="shared" si="2"/>
        <v>KERTAS</v>
      </c>
      <c r="F12" s="400">
        <v>16</v>
      </c>
      <c r="G12" s="751">
        <f t="shared" si="1"/>
        <v>27500</v>
      </c>
      <c r="H12" s="478">
        <f t="shared" si="3"/>
        <v>0.15</v>
      </c>
      <c r="I12" s="346">
        <f t="shared" si="4"/>
        <v>440000</v>
      </c>
      <c r="J12" s="751">
        <f t="shared" si="5"/>
        <v>66000</v>
      </c>
    </row>
    <row r="13" spans="1:11">
      <c r="A13" s="400">
        <v>8</v>
      </c>
      <c r="B13" s="576" t="s">
        <v>1166</v>
      </c>
      <c r="C13" s="400" t="str">
        <f t="shared" si="0"/>
        <v>KOMPUTER</v>
      </c>
      <c r="D13" s="475">
        <v>38633</v>
      </c>
      <c r="E13" s="346" t="str">
        <f t="shared" si="2"/>
        <v>BUKU</v>
      </c>
      <c r="F13" s="400">
        <v>45</v>
      </c>
      <c r="G13" s="751">
        <f t="shared" si="1"/>
        <v>25500</v>
      </c>
      <c r="H13" s="478">
        <f t="shared" si="3"/>
        <v>0.1</v>
      </c>
      <c r="I13" s="346">
        <f t="shared" si="4"/>
        <v>1147500</v>
      </c>
      <c r="J13" s="751">
        <f t="shared" si="5"/>
        <v>114750</v>
      </c>
    </row>
    <row r="14" spans="1:11">
      <c r="A14" s="400">
        <v>9</v>
      </c>
      <c r="B14" s="576" t="s">
        <v>1167</v>
      </c>
      <c r="C14" s="400" t="str">
        <f t="shared" si="0"/>
        <v>B.JEPANG</v>
      </c>
      <c r="D14" s="475">
        <v>38634</v>
      </c>
      <c r="E14" s="346" t="str">
        <f t="shared" si="2"/>
        <v>BUKU</v>
      </c>
      <c r="F14" s="400">
        <v>13</v>
      </c>
      <c r="G14" s="751">
        <f t="shared" si="1"/>
        <v>6500</v>
      </c>
      <c r="H14" s="478">
        <f t="shared" si="3"/>
        <v>0.1</v>
      </c>
      <c r="I14" s="346">
        <f t="shared" si="4"/>
        <v>84500</v>
      </c>
      <c r="J14" s="751">
        <f t="shared" si="5"/>
        <v>8450</v>
      </c>
    </row>
    <row r="15" spans="1:11">
      <c r="A15" s="400">
        <v>10</v>
      </c>
      <c r="B15" s="576" t="s">
        <v>1168</v>
      </c>
      <c r="C15" s="400" t="str">
        <f t="shared" si="0"/>
        <v>BOXY</v>
      </c>
      <c r="D15" s="475">
        <v>38635</v>
      </c>
      <c r="E15" s="346" t="str">
        <f t="shared" si="2"/>
        <v>ALAT TULIS</v>
      </c>
      <c r="F15" s="400">
        <v>11</v>
      </c>
      <c r="G15" s="751">
        <f t="shared" si="1"/>
        <v>7000</v>
      </c>
      <c r="H15" s="478">
        <f t="shared" si="3"/>
        <v>0.25</v>
      </c>
      <c r="I15" s="346">
        <f t="shared" si="4"/>
        <v>77000</v>
      </c>
      <c r="J15" s="751">
        <f t="shared" si="5"/>
        <v>19250</v>
      </c>
    </row>
    <row r="16" spans="1:11">
      <c r="A16" s="400">
        <v>11</v>
      </c>
      <c r="B16" s="576" t="s">
        <v>1169</v>
      </c>
      <c r="C16" s="400" t="str">
        <f t="shared" si="0"/>
        <v>PILOT</v>
      </c>
      <c r="D16" s="475">
        <v>38636</v>
      </c>
      <c r="E16" s="346" t="str">
        <f t="shared" si="2"/>
        <v>ALAT TULIS</v>
      </c>
      <c r="F16" s="400">
        <v>10</v>
      </c>
      <c r="G16" s="751">
        <f t="shared" si="1"/>
        <v>6000</v>
      </c>
      <c r="H16" s="478">
        <f t="shared" si="3"/>
        <v>0.25</v>
      </c>
      <c r="I16" s="346">
        <f t="shared" si="4"/>
        <v>60000</v>
      </c>
      <c r="J16" s="751">
        <f t="shared" si="5"/>
        <v>15000</v>
      </c>
    </row>
    <row r="17" spans="1:10">
      <c r="A17" s="400">
        <v>12</v>
      </c>
      <c r="B17" s="576" t="s">
        <v>1170</v>
      </c>
      <c r="C17" s="400" t="str">
        <f t="shared" si="0"/>
        <v>BUKU</v>
      </c>
      <c r="D17" s="475">
        <v>38637</v>
      </c>
      <c r="E17" s="346" t="str">
        <f t="shared" si="2"/>
        <v>BUKU</v>
      </c>
      <c r="F17" s="400">
        <v>12</v>
      </c>
      <c r="G17" s="751">
        <f t="shared" si="1"/>
        <v>45000</v>
      </c>
      <c r="H17" s="478">
        <f t="shared" si="3"/>
        <v>0.1</v>
      </c>
      <c r="I17" s="346">
        <f t="shared" si="4"/>
        <v>540000</v>
      </c>
      <c r="J17" s="751">
        <f t="shared" si="5"/>
        <v>54000</v>
      </c>
    </row>
    <row r="18" spans="1:10">
      <c r="A18" s="400">
        <v>13</v>
      </c>
      <c r="B18" s="576" t="s">
        <v>1171</v>
      </c>
      <c r="C18" s="400" t="str">
        <f t="shared" si="0"/>
        <v>BUKU</v>
      </c>
      <c r="D18" s="475">
        <v>38638</v>
      </c>
      <c r="E18" s="346" t="str">
        <f t="shared" si="2"/>
        <v>BUKU</v>
      </c>
      <c r="F18" s="400">
        <v>15</v>
      </c>
      <c r="G18" s="751">
        <f t="shared" si="1"/>
        <v>45000</v>
      </c>
      <c r="H18" s="478">
        <f t="shared" si="3"/>
        <v>0.1</v>
      </c>
      <c r="I18" s="346">
        <f t="shared" si="4"/>
        <v>675000</v>
      </c>
      <c r="J18" s="751">
        <f t="shared" si="5"/>
        <v>67500</v>
      </c>
    </row>
    <row r="19" spans="1:10">
      <c r="A19" s="400">
        <v>14</v>
      </c>
      <c r="B19" s="576" t="s">
        <v>1172</v>
      </c>
      <c r="C19" s="400" t="str">
        <f t="shared" si="0"/>
        <v>EKONOMI</v>
      </c>
      <c r="D19" s="475">
        <v>38639</v>
      </c>
      <c r="E19" s="346" t="str">
        <f t="shared" si="2"/>
        <v>BUKU</v>
      </c>
      <c r="F19" s="400">
        <v>17</v>
      </c>
      <c r="G19" s="751">
        <f t="shared" si="1"/>
        <v>45000</v>
      </c>
      <c r="H19" s="478">
        <f t="shared" si="3"/>
        <v>0.1</v>
      </c>
      <c r="I19" s="346">
        <f t="shared" si="4"/>
        <v>765000</v>
      </c>
      <c r="J19" s="751">
        <f t="shared" si="5"/>
        <v>76500</v>
      </c>
    </row>
    <row r="20" spans="1:10">
      <c r="A20" s="400">
        <v>15</v>
      </c>
      <c r="B20" s="576" t="s">
        <v>1173</v>
      </c>
      <c r="C20" s="400" t="str">
        <f t="shared" si="0"/>
        <v>PILOT</v>
      </c>
      <c r="D20" s="475">
        <v>38640</v>
      </c>
      <c r="E20" s="346" t="str">
        <f t="shared" si="2"/>
        <v>ALAT TULIS</v>
      </c>
      <c r="F20" s="400">
        <v>20</v>
      </c>
      <c r="G20" s="751">
        <f t="shared" si="1"/>
        <v>6000</v>
      </c>
      <c r="H20" s="478">
        <f t="shared" si="3"/>
        <v>0.25</v>
      </c>
      <c r="I20" s="346">
        <f t="shared" si="4"/>
        <v>120000</v>
      </c>
      <c r="J20" s="751">
        <f t="shared" si="5"/>
        <v>30000</v>
      </c>
    </row>
    <row r="22" spans="1:10">
      <c r="B22" s="577" t="s">
        <v>557</v>
      </c>
      <c r="C22" s="577" t="s">
        <v>559</v>
      </c>
      <c r="D22" s="577" t="s">
        <v>1054</v>
      </c>
      <c r="F22" s="476" t="s">
        <v>329</v>
      </c>
      <c r="G22" s="353" t="s">
        <v>1065</v>
      </c>
      <c r="H22" s="353" t="s">
        <v>1066</v>
      </c>
      <c r="I22" s="353" t="s">
        <v>1067</v>
      </c>
    </row>
    <row r="23" spans="1:10">
      <c r="B23" s="579" t="s">
        <v>1174</v>
      </c>
      <c r="C23" s="578" t="s">
        <v>1062</v>
      </c>
      <c r="D23" s="578">
        <v>25500</v>
      </c>
      <c r="F23" s="476" t="s">
        <v>682</v>
      </c>
      <c r="G23" s="353" t="s">
        <v>1068</v>
      </c>
      <c r="H23" s="353" t="s">
        <v>1064</v>
      </c>
      <c r="I23" s="353" t="s">
        <v>1069</v>
      </c>
    </row>
    <row r="24" spans="1:10">
      <c r="B24" s="579" t="s">
        <v>1175</v>
      </c>
      <c r="C24" s="578" t="s">
        <v>1057</v>
      </c>
      <c r="D24" s="578">
        <v>15000</v>
      </c>
      <c r="F24" s="476" t="s">
        <v>563</v>
      </c>
      <c r="G24" s="477">
        <v>0.25</v>
      </c>
      <c r="H24" s="477">
        <v>0.1</v>
      </c>
      <c r="I24" s="477">
        <v>0.15</v>
      </c>
    </row>
    <row r="25" spans="1:10">
      <c r="B25" s="579" t="s">
        <v>1175</v>
      </c>
      <c r="C25" s="578" t="s">
        <v>1070</v>
      </c>
      <c r="D25" s="578">
        <v>13000</v>
      </c>
    </row>
    <row r="26" spans="1:10">
      <c r="B26" s="579" t="s">
        <v>1176</v>
      </c>
      <c r="C26" s="578" t="s">
        <v>1063</v>
      </c>
      <c r="D26" s="578">
        <v>6500</v>
      </c>
      <c r="F26" s="52" t="s">
        <v>1139</v>
      </c>
    </row>
    <row r="27" spans="1:10">
      <c r="B27" s="579" t="s">
        <v>1177</v>
      </c>
      <c r="C27" s="578" t="s">
        <v>1059</v>
      </c>
      <c r="D27" s="578">
        <v>45000</v>
      </c>
      <c r="F27">
        <v>1</v>
      </c>
      <c r="G27" s="52" t="s">
        <v>1140</v>
      </c>
    </row>
    <row r="28" spans="1:10">
      <c r="B28" s="579" t="s">
        <v>1178</v>
      </c>
      <c r="C28" s="578" t="s">
        <v>1071</v>
      </c>
      <c r="D28" s="578">
        <v>6500</v>
      </c>
      <c r="F28">
        <v>2</v>
      </c>
      <c r="G28" s="52" t="s">
        <v>1141</v>
      </c>
    </row>
    <row r="29" spans="1:10">
      <c r="B29" s="579" t="s">
        <v>1179</v>
      </c>
      <c r="C29" s="578" t="s">
        <v>1058</v>
      </c>
      <c r="D29" s="578">
        <v>7000</v>
      </c>
      <c r="F29">
        <v>3</v>
      </c>
      <c r="G29" s="52" t="s">
        <v>1142</v>
      </c>
    </row>
    <row r="30" spans="1:10">
      <c r="B30" s="579" t="s">
        <v>1180</v>
      </c>
      <c r="C30" s="578" t="s">
        <v>1060</v>
      </c>
      <c r="D30" s="578">
        <v>6000</v>
      </c>
      <c r="F30">
        <v>4</v>
      </c>
      <c r="G30" s="52" t="s">
        <v>1143</v>
      </c>
    </row>
    <row r="31" spans="1:10">
      <c r="B31" s="579" t="s">
        <v>1181</v>
      </c>
      <c r="C31" s="578" t="s">
        <v>1056</v>
      </c>
      <c r="D31" s="578">
        <v>22500</v>
      </c>
    </row>
    <row r="32" spans="1:10">
      <c r="B32" s="579" t="s">
        <v>1159</v>
      </c>
      <c r="C32" s="578" t="s">
        <v>1072</v>
      </c>
      <c r="D32" s="578">
        <v>15000</v>
      </c>
    </row>
    <row r="33" spans="2:4">
      <c r="B33" s="579" t="s">
        <v>1154</v>
      </c>
      <c r="C33" s="578" t="s">
        <v>1061</v>
      </c>
      <c r="D33" s="578">
        <v>27500</v>
      </c>
    </row>
    <row r="34" spans="2:4">
      <c r="B34" s="579" t="s">
        <v>1182</v>
      </c>
      <c r="C34" s="578" t="s">
        <v>1064</v>
      </c>
      <c r="D34" s="578">
        <v>45000</v>
      </c>
    </row>
  </sheetData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6"/>
  <sheetViews>
    <sheetView zoomScale="89" zoomScaleNormal="89" workbookViewId="0">
      <selection activeCell="J18" sqref="J18"/>
    </sheetView>
  </sheetViews>
  <sheetFormatPr defaultRowHeight="13.2"/>
  <cols>
    <col min="1" max="1" width="18.109375" bestFit="1" customWidth="1"/>
    <col min="2" max="2" width="22.21875" bestFit="1" customWidth="1"/>
    <col min="3" max="3" width="11.33203125" bestFit="1" customWidth="1"/>
    <col min="4" max="4" width="10.33203125" bestFit="1" customWidth="1"/>
    <col min="5" max="5" width="12.33203125" bestFit="1" customWidth="1"/>
    <col min="6" max="6" width="12.6640625" bestFit="1" customWidth="1"/>
    <col min="7" max="7" width="11.6640625" bestFit="1" customWidth="1"/>
    <col min="8" max="8" width="15.33203125" bestFit="1" customWidth="1"/>
    <col min="9" max="9" width="8.33203125" bestFit="1" customWidth="1"/>
    <col min="10" max="10" width="13.77734375" bestFit="1" customWidth="1"/>
    <col min="11" max="11" width="12.44140625" bestFit="1" customWidth="1"/>
    <col min="12" max="12" width="15.33203125" bestFit="1" customWidth="1"/>
    <col min="13" max="13" width="17.44140625" bestFit="1" customWidth="1"/>
  </cols>
  <sheetData>
    <row r="1" spans="1:13" ht="14.4">
      <c r="E1" s="6"/>
      <c r="F1" s="479" t="s">
        <v>1073</v>
      </c>
      <c r="G1" s="6"/>
      <c r="H1" s="6"/>
      <c r="I1" s="6"/>
      <c r="J1" s="6"/>
    </row>
    <row r="2" spans="1:13" ht="14.4">
      <c r="E2" s="6"/>
      <c r="F2" s="479" t="s">
        <v>1074</v>
      </c>
      <c r="G2" s="6"/>
      <c r="H2" s="6"/>
      <c r="I2" s="6"/>
      <c r="J2" s="6"/>
    </row>
    <row r="3" spans="1:13" ht="15" thickBot="1">
      <c r="A3" s="77" t="s">
        <v>364</v>
      </c>
      <c r="B3" s="77"/>
      <c r="C3" s="77"/>
      <c r="D3" s="77"/>
    </row>
    <row r="4" spans="1:13" ht="15" thickBot="1">
      <c r="A4" s="480" t="s">
        <v>451</v>
      </c>
      <c r="B4" s="481" t="s">
        <v>23</v>
      </c>
      <c r="C4" s="481" t="s">
        <v>1075</v>
      </c>
      <c r="D4" s="482" t="s">
        <v>1076</v>
      </c>
    </row>
    <row r="5" spans="1:13" ht="13.8" thickTop="1">
      <c r="A5" s="509" t="s">
        <v>1077</v>
      </c>
      <c r="B5" s="483" t="s">
        <v>1078</v>
      </c>
      <c r="C5" s="483">
        <v>5050</v>
      </c>
      <c r="D5" s="484">
        <v>366</v>
      </c>
    </row>
    <row r="6" spans="1:13" ht="13.8" thickBot="1">
      <c r="A6" s="510" t="s">
        <v>1079</v>
      </c>
      <c r="B6" s="485" t="s">
        <v>1080</v>
      </c>
      <c r="C6" s="486">
        <v>3700</v>
      </c>
      <c r="D6" s="487">
        <v>350</v>
      </c>
      <c r="F6" t="s">
        <v>1081</v>
      </c>
    </row>
    <row r="7" spans="1:13" ht="13.8" thickBot="1">
      <c r="A7" s="511" t="s">
        <v>1082</v>
      </c>
      <c r="B7" s="486" t="s">
        <v>1083</v>
      </c>
      <c r="C7" s="486">
        <v>9750</v>
      </c>
      <c r="D7" s="487">
        <v>755</v>
      </c>
      <c r="F7" s="493" t="s">
        <v>195</v>
      </c>
      <c r="G7" s="495" t="s">
        <v>1077</v>
      </c>
      <c r="H7" s="495" t="s">
        <v>1079</v>
      </c>
      <c r="I7" s="495" t="s">
        <v>1082</v>
      </c>
      <c r="J7" s="495" t="s">
        <v>1084</v>
      </c>
      <c r="K7" s="495" t="s">
        <v>1085</v>
      </c>
      <c r="L7" s="495" t="s">
        <v>1086</v>
      </c>
      <c r="M7" s="496" t="s">
        <v>1087</v>
      </c>
    </row>
    <row r="8" spans="1:13" ht="13.8" thickBot="1">
      <c r="A8" s="512" t="s">
        <v>1084</v>
      </c>
      <c r="B8" s="486" t="s">
        <v>1088</v>
      </c>
      <c r="C8" s="486">
        <v>3750</v>
      </c>
      <c r="D8" s="486">
        <v>890</v>
      </c>
      <c r="F8" s="494" t="s">
        <v>1089</v>
      </c>
      <c r="G8" s="497" t="s">
        <v>1090</v>
      </c>
      <c r="H8" s="497" t="s">
        <v>1090</v>
      </c>
      <c r="I8" s="497" t="s">
        <v>1091</v>
      </c>
      <c r="J8" s="497" t="s">
        <v>1092</v>
      </c>
      <c r="K8" s="497" t="s">
        <v>1092</v>
      </c>
      <c r="L8" s="497" t="s">
        <v>1093</v>
      </c>
      <c r="M8" s="498" t="s">
        <v>1093</v>
      </c>
    </row>
    <row r="9" spans="1:13" ht="13.8" thickBot="1">
      <c r="A9" s="512" t="s">
        <v>1085</v>
      </c>
      <c r="B9" s="486" t="s">
        <v>1094</v>
      </c>
      <c r="C9" s="486">
        <v>5575</v>
      </c>
      <c r="D9" s="486">
        <v>1000</v>
      </c>
      <c r="F9" s="493" t="s">
        <v>527</v>
      </c>
      <c r="G9" s="499">
        <v>0.05</v>
      </c>
      <c r="H9" s="499">
        <v>0.05</v>
      </c>
      <c r="I9" s="499">
        <v>0.08</v>
      </c>
      <c r="J9" s="499">
        <v>0.1</v>
      </c>
      <c r="K9" s="499">
        <v>0.1</v>
      </c>
      <c r="L9" s="499">
        <v>0.12</v>
      </c>
      <c r="M9" s="500">
        <v>0.12</v>
      </c>
    </row>
    <row r="10" spans="1:13">
      <c r="A10" s="513" t="s">
        <v>1086</v>
      </c>
      <c r="B10" s="486" t="s">
        <v>1095</v>
      </c>
      <c r="C10" s="486">
        <v>33000</v>
      </c>
      <c r="D10" s="487">
        <v>5500</v>
      </c>
    </row>
    <row r="11" spans="1:13" ht="13.8" thickBot="1">
      <c r="A11" s="514" t="s">
        <v>1087</v>
      </c>
      <c r="B11" s="488" t="s">
        <v>1096</v>
      </c>
      <c r="C11" s="488">
        <v>31000</v>
      </c>
      <c r="D11" s="489">
        <v>7500</v>
      </c>
    </row>
    <row r="13" spans="1:13" ht="15" thickBot="1">
      <c r="A13" s="77" t="s">
        <v>1097</v>
      </c>
      <c r="B13" s="77"/>
      <c r="C13" s="77"/>
      <c r="D13" s="426"/>
      <c r="E13" s="77"/>
      <c r="F13" s="77"/>
      <c r="G13" s="77"/>
      <c r="H13" s="77"/>
      <c r="I13" s="77"/>
      <c r="J13" s="77"/>
      <c r="K13" s="77"/>
      <c r="L13" s="77"/>
      <c r="M13" s="77"/>
    </row>
    <row r="14" spans="1:13" ht="30.75" customHeight="1" thickBot="1">
      <c r="A14" s="490" t="s">
        <v>451</v>
      </c>
      <c r="B14" s="490" t="s">
        <v>23</v>
      </c>
      <c r="C14" s="490" t="s">
        <v>148</v>
      </c>
      <c r="D14" s="490" t="s">
        <v>1098</v>
      </c>
      <c r="E14" s="490" t="s">
        <v>1099</v>
      </c>
      <c r="F14" s="490" t="s">
        <v>417</v>
      </c>
      <c r="G14" s="491" t="s">
        <v>1100</v>
      </c>
      <c r="H14" s="491" t="s">
        <v>1101</v>
      </c>
      <c r="I14" s="491" t="s">
        <v>527</v>
      </c>
      <c r="J14" s="491" t="s">
        <v>1102</v>
      </c>
      <c r="K14" s="491" t="s">
        <v>1103</v>
      </c>
      <c r="L14" s="491" t="s">
        <v>1104</v>
      </c>
      <c r="M14" s="492" t="s">
        <v>1105</v>
      </c>
    </row>
    <row r="15" spans="1:13" ht="15.6" thickTop="1" thickBot="1">
      <c r="A15" s="506" t="s">
        <v>1086</v>
      </c>
      <c r="B15" s="502" t="str">
        <f t="shared" ref="B15:B25" si="0">VLOOKUP(A15,KODE_BARANG,2,0)</f>
        <v>Kopi Kapal Api</v>
      </c>
      <c r="C15" s="502" t="str">
        <f t="shared" ref="C15:C25" si="1">HLOOKUP(A15,Kode,2,0)</f>
        <v>Kopi</v>
      </c>
      <c r="D15" s="503">
        <v>231</v>
      </c>
      <c r="E15" s="504">
        <v>38626</v>
      </c>
      <c r="F15" s="752">
        <f>VLOOKUP(A15,KODE_BARANG,3,0)</f>
        <v>33000</v>
      </c>
      <c r="G15" s="753">
        <v>250</v>
      </c>
      <c r="H15" s="752">
        <f>F15*G15</f>
        <v>8250000</v>
      </c>
      <c r="I15" s="515">
        <f t="shared" ref="I15:I25" si="2">HLOOKUP(A15,Kode,3,0)</f>
        <v>0.12</v>
      </c>
      <c r="J15" s="752">
        <f>I15*H15</f>
        <v>990000</v>
      </c>
      <c r="K15" s="502" t="str">
        <f>IF(I15&lt;=5%,"DORAEMON",IF(I15&lt;=10%,"MUG CANTIK","JAM TANGAN"))</f>
        <v>JAM TANGAN</v>
      </c>
      <c r="L15" s="752">
        <f>H15-J15</f>
        <v>7260000</v>
      </c>
      <c r="M15" s="755">
        <f>J15*G15</f>
        <v>247500000</v>
      </c>
    </row>
    <row r="16" spans="1:13" ht="14.4" thickTop="1" thickBot="1">
      <c r="A16" s="507" t="s">
        <v>1082</v>
      </c>
      <c r="B16" s="502" t="str">
        <f t="shared" si="0"/>
        <v>Gula Diet Tropi Kana Slim</v>
      </c>
      <c r="C16" s="502" t="str">
        <f t="shared" si="1"/>
        <v>Gula</v>
      </c>
      <c r="D16" s="501">
        <v>256</v>
      </c>
      <c r="E16" s="505">
        <v>38629</v>
      </c>
      <c r="F16" s="752">
        <f t="shared" ref="F15:F25" si="3">VLOOKUP(A16,KODE_BARANG,3,0)</f>
        <v>9750</v>
      </c>
      <c r="G16" s="754">
        <v>270</v>
      </c>
      <c r="H16" s="752">
        <f t="shared" ref="H16:H25" si="4">F16*G16</f>
        <v>2632500</v>
      </c>
      <c r="I16" s="515">
        <f t="shared" si="2"/>
        <v>0.08</v>
      </c>
      <c r="J16" s="752">
        <f t="shared" ref="J16:J25" si="5">I16*H16</f>
        <v>210600</v>
      </c>
      <c r="K16" s="502" t="str">
        <f t="shared" ref="K16:K25" si="6">IF(I16&lt;=5%,"DORAEMON",IF(I16&lt;=10%,"MUG CANTIK","JAM TANGAN"))</f>
        <v>MUG CANTIK</v>
      </c>
      <c r="L16" s="752">
        <f t="shared" ref="L16:L25" si="7">H16-J16</f>
        <v>2421900</v>
      </c>
      <c r="M16" s="755">
        <f t="shared" ref="M16:M25" si="8">J16*G16</f>
        <v>56862000</v>
      </c>
    </row>
    <row r="17" spans="1:13" ht="14.4" thickTop="1" thickBot="1">
      <c r="A17" s="507" t="s">
        <v>1077</v>
      </c>
      <c r="B17" s="502" t="str">
        <f t="shared" si="0"/>
        <v>Beras Setra Ramos</v>
      </c>
      <c r="C17" s="502" t="str">
        <f t="shared" si="1"/>
        <v>Beras</v>
      </c>
      <c r="D17" s="501">
        <v>3465</v>
      </c>
      <c r="E17" s="505">
        <v>38632</v>
      </c>
      <c r="F17" s="752">
        <f t="shared" si="3"/>
        <v>5050</v>
      </c>
      <c r="G17" s="754">
        <v>1500</v>
      </c>
      <c r="H17" s="752">
        <f t="shared" si="4"/>
        <v>7575000</v>
      </c>
      <c r="I17" s="515">
        <f t="shared" si="2"/>
        <v>0.05</v>
      </c>
      <c r="J17" s="752">
        <f t="shared" si="5"/>
        <v>378750</v>
      </c>
      <c r="K17" s="502" t="str">
        <f t="shared" si="6"/>
        <v>DORAEMON</v>
      </c>
      <c r="L17" s="752">
        <f t="shared" si="7"/>
        <v>7196250</v>
      </c>
      <c r="M17" s="755">
        <f t="shared" si="8"/>
        <v>568125000</v>
      </c>
    </row>
    <row r="18" spans="1:13" ht="14.4" thickTop="1" thickBot="1">
      <c r="A18" s="507" t="s">
        <v>1082</v>
      </c>
      <c r="B18" s="502" t="str">
        <f t="shared" si="0"/>
        <v>Gula Diet Tropi Kana Slim</v>
      </c>
      <c r="C18" s="502" t="str">
        <f t="shared" si="1"/>
        <v>Gula</v>
      </c>
      <c r="D18" s="501">
        <v>564</v>
      </c>
      <c r="E18" s="505">
        <v>38635</v>
      </c>
      <c r="F18" s="752">
        <f t="shared" si="3"/>
        <v>9750</v>
      </c>
      <c r="G18" s="754">
        <v>1000</v>
      </c>
      <c r="H18" s="752">
        <f t="shared" si="4"/>
        <v>9750000</v>
      </c>
      <c r="I18" s="515">
        <f t="shared" si="2"/>
        <v>0.08</v>
      </c>
      <c r="J18" s="752">
        <f t="shared" si="5"/>
        <v>780000</v>
      </c>
      <c r="K18" s="502" t="str">
        <f t="shared" si="6"/>
        <v>MUG CANTIK</v>
      </c>
      <c r="L18" s="752">
        <f t="shared" si="7"/>
        <v>8970000</v>
      </c>
      <c r="M18" s="755">
        <f t="shared" si="8"/>
        <v>780000000</v>
      </c>
    </row>
    <row r="19" spans="1:13" ht="14.4" thickTop="1" thickBot="1">
      <c r="A19" s="507" t="s">
        <v>1079</v>
      </c>
      <c r="B19" s="502" t="str">
        <f t="shared" si="0"/>
        <v>Beras Pandan Sari</v>
      </c>
      <c r="C19" s="502" t="str">
        <f t="shared" si="1"/>
        <v>Beras</v>
      </c>
      <c r="D19" s="501">
        <v>689</v>
      </c>
      <c r="E19" s="505">
        <v>38636</v>
      </c>
      <c r="F19" s="752">
        <f t="shared" si="3"/>
        <v>3700</v>
      </c>
      <c r="G19" s="754">
        <v>1320</v>
      </c>
      <c r="H19" s="752">
        <f t="shared" si="4"/>
        <v>4884000</v>
      </c>
      <c r="I19" s="515">
        <f t="shared" si="2"/>
        <v>0.05</v>
      </c>
      <c r="J19" s="752">
        <f t="shared" si="5"/>
        <v>244200</v>
      </c>
      <c r="K19" s="502" t="str">
        <f t="shared" si="6"/>
        <v>DORAEMON</v>
      </c>
      <c r="L19" s="752">
        <f t="shared" si="7"/>
        <v>4639800</v>
      </c>
      <c r="M19" s="755">
        <f t="shared" si="8"/>
        <v>322344000</v>
      </c>
    </row>
    <row r="20" spans="1:13" ht="14.4" thickTop="1" thickBot="1">
      <c r="A20" s="508" t="s">
        <v>1086</v>
      </c>
      <c r="B20" s="502" t="str">
        <f t="shared" si="0"/>
        <v>Kopi Kapal Api</v>
      </c>
      <c r="C20" s="502" t="str">
        <f t="shared" si="1"/>
        <v>Kopi</v>
      </c>
      <c r="D20" s="501">
        <v>657</v>
      </c>
      <c r="E20" s="505">
        <v>38638</v>
      </c>
      <c r="F20" s="752">
        <f t="shared" si="3"/>
        <v>33000</v>
      </c>
      <c r="G20" s="754">
        <v>250</v>
      </c>
      <c r="H20" s="752">
        <f t="shared" si="4"/>
        <v>8250000</v>
      </c>
      <c r="I20" s="515">
        <f t="shared" si="2"/>
        <v>0.12</v>
      </c>
      <c r="J20" s="752">
        <f t="shared" si="5"/>
        <v>990000</v>
      </c>
      <c r="K20" s="502" t="str">
        <f t="shared" si="6"/>
        <v>JAM TANGAN</v>
      </c>
      <c r="L20" s="752">
        <f t="shared" si="7"/>
        <v>7260000</v>
      </c>
      <c r="M20" s="755">
        <f t="shared" si="8"/>
        <v>247500000</v>
      </c>
    </row>
    <row r="21" spans="1:13" ht="14.4" thickTop="1" thickBot="1">
      <c r="A21" s="507" t="s">
        <v>1085</v>
      </c>
      <c r="B21" s="502" t="str">
        <f t="shared" si="0"/>
        <v>Terigu Segatiga Biru</v>
      </c>
      <c r="C21" s="502" t="str">
        <f t="shared" si="1"/>
        <v>Tepung</v>
      </c>
      <c r="D21" s="501">
        <v>569</v>
      </c>
      <c r="E21" s="505">
        <v>38640</v>
      </c>
      <c r="F21" s="752">
        <f t="shared" si="3"/>
        <v>5575</v>
      </c>
      <c r="G21" s="754">
        <v>450</v>
      </c>
      <c r="H21" s="752">
        <f t="shared" si="4"/>
        <v>2508750</v>
      </c>
      <c r="I21" s="515">
        <f t="shared" si="2"/>
        <v>0.1</v>
      </c>
      <c r="J21" s="752">
        <f t="shared" si="5"/>
        <v>250875</v>
      </c>
      <c r="K21" s="502" t="str">
        <f t="shared" si="6"/>
        <v>MUG CANTIK</v>
      </c>
      <c r="L21" s="752">
        <f t="shared" si="7"/>
        <v>2257875</v>
      </c>
      <c r="M21" s="755">
        <f t="shared" si="8"/>
        <v>112893750</v>
      </c>
    </row>
    <row r="22" spans="1:13" ht="14.4" thickTop="1" thickBot="1">
      <c r="A22" s="507" t="s">
        <v>1084</v>
      </c>
      <c r="B22" s="502" t="str">
        <f t="shared" si="0"/>
        <v>Sagu Tropi Kana</v>
      </c>
      <c r="C22" s="502" t="str">
        <f t="shared" si="1"/>
        <v>Tepung</v>
      </c>
      <c r="D22" s="501">
        <v>685</v>
      </c>
      <c r="E22" s="505">
        <v>38648</v>
      </c>
      <c r="F22" s="752">
        <f t="shared" si="3"/>
        <v>3750</v>
      </c>
      <c r="G22" s="754">
        <v>500</v>
      </c>
      <c r="H22" s="752">
        <f t="shared" si="4"/>
        <v>1875000</v>
      </c>
      <c r="I22" s="515">
        <f t="shared" si="2"/>
        <v>0.1</v>
      </c>
      <c r="J22" s="752">
        <f t="shared" si="5"/>
        <v>187500</v>
      </c>
      <c r="K22" s="502" t="str">
        <f t="shared" si="6"/>
        <v>MUG CANTIK</v>
      </c>
      <c r="L22" s="752">
        <f t="shared" si="7"/>
        <v>1687500</v>
      </c>
      <c r="M22" s="755">
        <f t="shared" si="8"/>
        <v>93750000</v>
      </c>
    </row>
    <row r="23" spans="1:13" ht="14.4" thickTop="1" thickBot="1">
      <c r="A23" s="507" t="s">
        <v>1079</v>
      </c>
      <c r="B23" s="502" t="str">
        <f t="shared" si="0"/>
        <v>Beras Pandan Sari</v>
      </c>
      <c r="C23" s="502" t="str">
        <f t="shared" si="1"/>
        <v>Beras</v>
      </c>
      <c r="D23" s="501">
        <v>123</v>
      </c>
      <c r="E23" s="505">
        <v>38650</v>
      </c>
      <c r="F23" s="752">
        <f t="shared" si="3"/>
        <v>3700</v>
      </c>
      <c r="G23" s="754">
        <v>1400</v>
      </c>
      <c r="H23" s="752">
        <f t="shared" si="4"/>
        <v>5180000</v>
      </c>
      <c r="I23" s="515">
        <f t="shared" si="2"/>
        <v>0.05</v>
      </c>
      <c r="J23" s="752">
        <f t="shared" si="5"/>
        <v>259000</v>
      </c>
      <c r="K23" s="502" t="str">
        <f t="shared" si="6"/>
        <v>DORAEMON</v>
      </c>
      <c r="L23" s="752">
        <f t="shared" si="7"/>
        <v>4921000</v>
      </c>
      <c r="M23" s="755">
        <f t="shared" si="8"/>
        <v>362600000</v>
      </c>
    </row>
    <row r="24" spans="1:13" ht="14.4" thickTop="1" thickBot="1">
      <c r="A24" s="507" t="s">
        <v>1087</v>
      </c>
      <c r="B24" s="502" t="str">
        <f t="shared" si="0"/>
        <v>Kopi Glatik</v>
      </c>
      <c r="C24" s="502" t="str">
        <f t="shared" si="1"/>
        <v>Kopi</v>
      </c>
      <c r="D24" s="501">
        <v>356</v>
      </c>
      <c r="E24" s="505">
        <v>38651</v>
      </c>
      <c r="F24" s="752">
        <f t="shared" si="3"/>
        <v>31000</v>
      </c>
      <c r="G24" s="754">
        <v>150</v>
      </c>
      <c r="H24" s="752">
        <f t="shared" si="4"/>
        <v>4650000</v>
      </c>
      <c r="I24" s="515">
        <f t="shared" si="2"/>
        <v>0.12</v>
      </c>
      <c r="J24" s="752">
        <f t="shared" si="5"/>
        <v>558000</v>
      </c>
      <c r="K24" s="502" t="str">
        <f t="shared" si="6"/>
        <v>JAM TANGAN</v>
      </c>
      <c r="L24" s="752">
        <f t="shared" si="7"/>
        <v>4092000</v>
      </c>
      <c r="M24" s="755">
        <f t="shared" si="8"/>
        <v>83700000</v>
      </c>
    </row>
    <row r="25" spans="1:13" ht="14.4" thickTop="1" thickBot="1">
      <c r="A25" s="507" t="s">
        <v>1087</v>
      </c>
      <c r="B25" s="502" t="str">
        <f t="shared" si="0"/>
        <v>Kopi Glatik</v>
      </c>
      <c r="C25" s="502" t="str">
        <f t="shared" si="1"/>
        <v>Kopi</v>
      </c>
      <c r="D25" s="501">
        <v>654</v>
      </c>
      <c r="E25" s="505">
        <v>38655</v>
      </c>
      <c r="F25" s="752">
        <f t="shared" si="3"/>
        <v>31000</v>
      </c>
      <c r="G25" s="754">
        <v>175</v>
      </c>
      <c r="H25" s="752">
        <f t="shared" si="4"/>
        <v>5425000</v>
      </c>
      <c r="I25" s="515">
        <f t="shared" si="2"/>
        <v>0.12</v>
      </c>
      <c r="J25" s="752">
        <f t="shared" si="5"/>
        <v>651000</v>
      </c>
      <c r="K25" s="502" t="str">
        <f t="shared" si="6"/>
        <v>JAM TANGAN</v>
      </c>
      <c r="L25" s="752">
        <f t="shared" si="7"/>
        <v>4774000</v>
      </c>
      <c r="M25" s="755">
        <f t="shared" si="8"/>
        <v>113925000</v>
      </c>
    </row>
    <row r="27" spans="1:13" ht="30">
      <c r="A27" s="516" t="s">
        <v>1106</v>
      </c>
    </row>
    <row r="28" spans="1:13">
      <c r="A28">
        <v>1</v>
      </c>
      <c r="B28" s="52" t="s">
        <v>1144</v>
      </c>
    </row>
    <row r="29" spans="1:13">
      <c r="A29">
        <v>2</v>
      </c>
      <c r="B29" s="52" t="s">
        <v>1153</v>
      </c>
    </row>
    <row r="30" spans="1:13">
      <c r="A30">
        <v>3</v>
      </c>
      <c r="B30" s="52" t="s">
        <v>1152</v>
      </c>
    </row>
    <row r="31" spans="1:13">
      <c r="A31">
        <v>4</v>
      </c>
      <c r="B31" s="52" t="s">
        <v>1151</v>
      </c>
      <c r="C31" s="52" t="s">
        <v>1147</v>
      </c>
    </row>
    <row r="32" spans="1:13">
      <c r="C32" s="52" t="s">
        <v>1145</v>
      </c>
    </row>
    <row r="33" spans="1:3">
      <c r="C33" s="52" t="s">
        <v>1146</v>
      </c>
    </row>
    <row r="34" spans="1:3">
      <c r="A34">
        <v>5</v>
      </c>
      <c r="B34" s="52" t="s">
        <v>1150</v>
      </c>
    </row>
    <row r="35" spans="1:3">
      <c r="A35">
        <v>6</v>
      </c>
      <c r="B35" s="52" t="s">
        <v>1148</v>
      </c>
    </row>
    <row r="36" spans="1:3">
      <c r="A36">
        <v>7</v>
      </c>
      <c r="B36" s="52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BARANG</vt:lpstr>
      <vt:lpstr>Kode</vt:lpstr>
      <vt:lpstr>KODE_2</vt:lpstr>
      <vt:lpstr>KODE_BARANG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kosngosan</dc:creator>
  <cp:lastModifiedBy>ASUS K16</cp:lastModifiedBy>
  <cp:lastPrinted>2005-07-28T05:04:18Z</cp:lastPrinted>
  <dcterms:created xsi:type="dcterms:W3CDTF">2004-12-27T04:57:24Z</dcterms:created>
  <dcterms:modified xsi:type="dcterms:W3CDTF">2026-09-10T13:29:04Z</dcterms:modified>
</cp:coreProperties>
</file>