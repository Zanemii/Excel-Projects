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Klinik\"/>
    </mc:Choice>
  </mc:AlternateContent>
  <xr:revisionPtr revIDLastSave="0" documentId="13_ncr:1_{77C5300A-37C1-4BF3-848D-46AFE7C55AA6}" xr6:coauthVersionLast="47" xr6:coauthVersionMax="47" xr10:uidLastSave="{00000000-0000-0000-0000-000000000000}"/>
  <bookViews>
    <workbookView xWindow="-108" yWindow="-108" windowWidth="23256" windowHeight="13896" xr2:uid="{22C0D914-EE93-4311-8305-51152887DD7C}"/>
  </bookViews>
  <sheets>
    <sheet name="Latih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5" i="2"/>
  <c r="L14" i="2"/>
  <c r="K16" i="2"/>
  <c r="K15" i="2"/>
  <c r="K14" i="2"/>
  <c r="K12" i="2"/>
  <c r="K11" i="2"/>
  <c r="K10" i="2"/>
  <c r="L5" i="2"/>
  <c r="L6" i="2"/>
  <c r="L7" i="2"/>
  <c r="L8" i="2"/>
  <c r="L4" i="2"/>
  <c r="K5" i="2"/>
  <c r="K6" i="2"/>
  <c r="K7" i="2"/>
  <c r="K8" i="2"/>
  <c r="K4" i="2"/>
  <c r="J5" i="2"/>
  <c r="J6" i="2"/>
  <c r="J7" i="2"/>
  <c r="J8" i="2"/>
  <c r="J4" i="2"/>
  <c r="I5" i="2"/>
  <c r="I6" i="2"/>
  <c r="I7" i="2"/>
  <c r="I8" i="2"/>
  <c r="I4" i="2"/>
  <c r="H5" i="2"/>
  <c r="H6" i="2"/>
  <c r="H7" i="2"/>
  <c r="H8" i="2"/>
  <c r="H4" i="2"/>
</calcChain>
</file>

<file path=xl/sharedStrings.xml><?xml version="1.0" encoding="utf-8"?>
<sst xmlns="http://schemas.openxmlformats.org/spreadsheetml/2006/main" count="47" uniqueCount="34">
  <si>
    <t>Klinik Persalinan Yayasan Kasih</t>
  </si>
  <si>
    <t>No</t>
  </si>
  <si>
    <t>Nama Pasien</t>
  </si>
  <si>
    <t>Penanganan</t>
  </si>
  <si>
    <t xml:space="preserve">Tanggal </t>
  </si>
  <si>
    <t>Masuk</t>
  </si>
  <si>
    <t>Keluar</t>
  </si>
  <si>
    <t>Biaya</t>
  </si>
  <si>
    <t>Inap</t>
  </si>
  <si>
    <t>Layanan</t>
  </si>
  <si>
    <t>Persalinan</t>
  </si>
  <si>
    <t>Total Biaya</t>
  </si>
  <si>
    <t>Biaya Perhari</t>
  </si>
  <si>
    <t>Biaya Persalinan</t>
  </si>
  <si>
    <t>Dokter</t>
  </si>
  <si>
    <t>Bidan</t>
  </si>
  <si>
    <t>Total Bayar</t>
  </si>
  <si>
    <t>Biaya Tertinggi</t>
  </si>
  <si>
    <t>Biaya Terendah</t>
  </si>
  <si>
    <t>A</t>
  </si>
  <si>
    <t>B</t>
  </si>
  <si>
    <t>C</t>
  </si>
  <si>
    <t>Fitri</t>
  </si>
  <si>
    <t>Tasya</t>
  </si>
  <si>
    <t>Siska</t>
  </si>
  <si>
    <t>Nabila</t>
  </si>
  <si>
    <t>Sintia</t>
  </si>
  <si>
    <t>Kelas</t>
  </si>
  <si>
    <t>Jumlah Pasien</t>
  </si>
  <si>
    <t>Jumlah Biaya</t>
  </si>
  <si>
    <t>Kelas A</t>
  </si>
  <si>
    <t>Kelas B</t>
  </si>
  <si>
    <t>Kelas C</t>
  </si>
  <si>
    <t>Lama Tinggal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</si>
</sst>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_-;_-@_-"/>
    <numFmt numFmtId="165" formatCode="_-* #,##0_-;\-* #,##0_-;_-* &quot;-&quot;_-;_-@_-"/>
    <numFmt numFmtId="166" formatCode="[$-F800]dddd\,\ mmmm\ dd\,\ yyyy"/>
    <numFmt numFmtId="168" formatCode="0\ &quot;Hari&quot;"/>
  </numFmts>
  <fonts count="6" x14ac:knownFonts="1"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sz val="11"/>
      <name val="Yu Gothic UI Semibold"/>
      <family val="2"/>
    </font>
    <font>
      <sz val="11"/>
      <color theme="1"/>
      <name val="Yu Gothic UI Semibold"/>
      <family val="2"/>
    </font>
    <font>
      <sz val="14"/>
      <color theme="1"/>
      <name val="Yu Gothic UI Semibold"/>
      <family val="2"/>
    </font>
    <font>
      <u/>
      <sz val="11"/>
      <color theme="10"/>
      <name val="Yu Gothic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1" xfId="1" applyNumberFormat="1" applyFont="1" applyBorder="1"/>
    <xf numFmtId="164" fontId="0" fillId="0" borderId="2" xfId="0" applyNumberFormat="1" applyBorder="1"/>
    <xf numFmtId="0" fontId="5" fillId="0" borderId="0" xfId="2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D4BE-FB02-474C-8BB7-7AFCC78DBFB8}">
  <sheetPr>
    <tabColor theme="1"/>
  </sheetPr>
  <dimension ref="B1:L16"/>
  <sheetViews>
    <sheetView tabSelected="1" zoomScale="115" zoomScaleNormal="115" workbookViewId="0">
      <selection activeCell="J23" sqref="J23"/>
    </sheetView>
  </sheetViews>
  <sheetFormatPr defaultRowHeight="16.8" x14ac:dyDescent="0.4"/>
  <cols>
    <col min="1" max="1" width="2.3984375" customWidth="1"/>
    <col min="2" max="2" width="3.3984375" bestFit="1" customWidth="1"/>
    <col min="3" max="3" width="11.59765625" bestFit="1" customWidth="1"/>
    <col min="4" max="4" width="11.09765625" bestFit="1" customWidth="1"/>
    <col min="5" max="5" width="11.19921875" bestFit="1" customWidth="1"/>
    <col min="6" max="6" width="22.09765625" bestFit="1" customWidth="1"/>
    <col min="7" max="7" width="24.3984375" bestFit="1" customWidth="1"/>
    <col min="8" max="8" width="11.8984375" bestFit="1" customWidth="1"/>
    <col min="9" max="9" width="11.09765625" bestFit="1" customWidth="1"/>
    <col min="10" max="10" width="13.69921875" bestFit="1" customWidth="1"/>
    <col min="11" max="11" width="14.09765625" bestFit="1" customWidth="1"/>
    <col min="12" max="12" width="12.59765625" bestFit="1" customWidth="1"/>
  </cols>
  <sheetData>
    <row r="1" spans="2:12" ht="30" customHeight="1" x14ac:dyDescent="0.4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2:12" x14ac:dyDescent="0.4">
      <c r="B2" s="19" t="s">
        <v>1</v>
      </c>
      <c r="C2" s="19" t="s">
        <v>2</v>
      </c>
      <c r="D2" s="19" t="s">
        <v>27</v>
      </c>
      <c r="E2" s="19" t="s">
        <v>3</v>
      </c>
      <c r="F2" s="19" t="s">
        <v>4</v>
      </c>
      <c r="G2" s="19"/>
      <c r="H2" s="20" t="s">
        <v>33</v>
      </c>
      <c r="I2" s="19" t="s">
        <v>7</v>
      </c>
      <c r="J2" s="19"/>
      <c r="K2" s="19"/>
      <c r="L2" s="19" t="s">
        <v>11</v>
      </c>
    </row>
    <row r="3" spans="2:12" x14ac:dyDescent="0.4">
      <c r="B3" s="19"/>
      <c r="C3" s="19"/>
      <c r="D3" s="19"/>
      <c r="E3" s="19"/>
      <c r="F3" s="10" t="s">
        <v>5</v>
      </c>
      <c r="G3" s="10" t="s">
        <v>6</v>
      </c>
      <c r="H3" s="20"/>
      <c r="I3" s="10" t="s">
        <v>8</v>
      </c>
      <c r="J3" s="10" t="s">
        <v>9</v>
      </c>
      <c r="K3" s="10" t="s">
        <v>10</v>
      </c>
      <c r="L3" s="19"/>
    </row>
    <row r="4" spans="2:12" x14ac:dyDescent="0.4">
      <c r="B4" s="2">
        <v>1</v>
      </c>
      <c r="C4" s="3" t="s">
        <v>23</v>
      </c>
      <c r="D4" s="2" t="s">
        <v>19</v>
      </c>
      <c r="E4" s="3" t="s">
        <v>14</v>
      </c>
      <c r="F4" s="4">
        <v>44197</v>
      </c>
      <c r="G4" s="4">
        <v>44199</v>
      </c>
      <c r="H4" s="21">
        <f>G4-F4</f>
        <v>2</v>
      </c>
      <c r="I4" s="13">
        <f>VLOOKUP(D4,$C$11:$E$14,2,FALSE)*H4</f>
        <v>600000</v>
      </c>
      <c r="J4" s="13">
        <f>VLOOKUP(D4,$C$11:$E$14,3,FALSE)*H4</f>
        <v>300000</v>
      </c>
      <c r="K4" s="13">
        <f>VLOOKUP(E4,$G$12:$H$13,2,FALSE)</f>
        <v>200000</v>
      </c>
      <c r="L4" s="9">
        <f>I4+J4+K4</f>
        <v>1100000</v>
      </c>
    </row>
    <row r="5" spans="2:12" x14ac:dyDescent="0.4">
      <c r="B5" s="2">
        <v>2</v>
      </c>
      <c r="C5" s="3" t="s">
        <v>22</v>
      </c>
      <c r="D5" s="2" t="s">
        <v>20</v>
      </c>
      <c r="E5" s="3" t="s">
        <v>15</v>
      </c>
      <c r="F5" s="4">
        <v>44198</v>
      </c>
      <c r="G5" s="4">
        <v>44201</v>
      </c>
      <c r="H5" s="21">
        <f t="shared" ref="H5:H8" si="0">G5-F5</f>
        <v>3</v>
      </c>
      <c r="I5" s="13">
        <f t="shared" ref="I5:I8" si="1">VLOOKUP(D5,$C$11:$E$14,2,FALSE)*H5</f>
        <v>600000</v>
      </c>
      <c r="J5" s="13">
        <f t="shared" ref="J5:J8" si="2">VLOOKUP(D5,$C$11:$E$14,3,FALSE)*H5</f>
        <v>300000</v>
      </c>
      <c r="K5" s="13">
        <f t="shared" ref="K5:K8" si="3">VLOOKUP(E5,$G$12:$H$13,2,FALSE)</f>
        <v>100000</v>
      </c>
      <c r="L5" s="9">
        <f t="shared" ref="L5:L8" si="4">I5+J5+K5</f>
        <v>1000000</v>
      </c>
    </row>
    <row r="6" spans="2:12" x14ac:dyDescent="0.4">
      <c r="B6" s="2">
        <v>3</v>
      </c>
      <c r="C6" s="3" t="s">
        <v>24</v>
      </c>
      <c r="D6" s="2" t="s">
        <v>21</v>
      </c>
      <c r="E6" s="3" t="s">
        <v>14</v>
      </c>
      <c r="F6" s="4">
        <v>44199</v>
      </c>
      <c r="G6" s="4">
        <v>44200</v>
      </c>
      <c r="H6" s="21">
        <f t="shared" si="0"/>
        <v>1</v>
      </c>
      <c r="I6" s="13">
        <f t="shared" si="1"/>
        <v>100000</v>
      </c>
      <c r="J6" s="13">
        <f t="shared" si="2"/>
        <v>50000</v>
      </c>
      <c r="K6" s="13">
        <f t="shared" si="3"/>
        <v>200000</v>
      </c>
      <c r="L6" s="9">
        <f t="shared" si="4"/>
        <v>350000</v>
      </c>
    </row>
    <row r="7" spans="2:12" x14ac:dyDescent="0.4">
      <c r="B7" s="2">
        <v>4</v>
      </c>
      <c r="C7" s="3" t="s">
        <v>25</v>
      </c>
      <c r="D7" s="2" t="s">
        <v>19</v>
      </c>
      <c r="E7" s="3" t="s">
        <v>15</v>
      </c>
      <c r="F7" s="4">
        <v>44200</v>
      </c>
      <c r="G7" s="4">
        <v>44203</v>
      </c>
      <c r="H7" s="21">
        <f t="shared" si="0"/>
        <v>3</v>
      </c>
      <c r="I7" s="13">
        <f t="shared" si="1"/>
        <v>900000</v>
      </c>
      <c r="J7" s="13">
        <f t="shared" si="2"/>
        <v>450000</v>
      </c>
      <c r="K7" s="13">
        <f t="shared" si="3"/>
        <v>100000</v>
      </c>
      <c r="L7" s="9">
        <f t="shared" si="4"/>
        <v>1450000</v>
      </c>
    </row>
    <row r="8" spans="2:12" x14ac:dyDescent="0.4">
      <c r="B8" s="2">
        <v>5</v>
      </c>
      <c r="C8" s="3" t="s">
        <v>26</v>
      </c>
      <c r="D8" s="2" t="s">
        <v>20</v>
      </c>
      <c r="E8" s="3" t="s">
        <v>14</v>
      </c>
      <c r="F8" s="4">
        <v>44201</v>
      </c>
      <c r="G8" s="4">
        <v>44202</v>
      </c>
      <c r="H8" s="21">
        <f t="shared" si="0"/>
        <v>1</v>
      </c>
      <c r="I8" s="13">
        <f t="shared" si="1"/>
        <v>200000</v>
      </c>
      <c r="J8" s="13">
        <f t="shared" si="2"/>
        <v>100000</v>
      </c>
      <c r="K8" s="13">
        <f t="shared" si="3"/>
        <v>200000</v>
      </c>
      <c r="L8" s="9">
        <f t="shared" si="4"/>
        <v>500000</v>
      </c>
    </row>
    <row r="10" spans="2:12" x14ac:dyDescent="0.4">
      <c r="C10" s="16" t="s">
        <v>12</v>
      </c>
      <c r="D10" s="16"/>
      <c r="E10" s="16"/>
      <c r="J10" s="5" t="s">
        <v>16</v>
      </c>
      <c r="K10" s="9">
        <f>SUM(L4:L8)</f>
        <v>4400000</v>
      </c>
    </row>
    <row r="11" spans="2:12" x14ac:dyDescent="0.4">
      <c r="C11" s="11" t="s">
        <v>7</v>
      </c>
      <c r="D11" s="11" t="s">
        <v>8</v>
      </c>
      <c r="E11" s="11" t="s">
        <v>9</v>
      </c>
      <c r="G11" s="17" t="s">
        <v>13</v>
      </c>
      <c r="H11" s="17"/>
      <c r="J11" s="5" t="s">
        <v>17</v>
      </c>
      <c r="K11" s="9">
        <f>MAX(L4:L8)</f>
        <v>1450000</v>
      </c>
    </row>
    <row r="12" spans="2:12" x14ac:dyDescent="0.4">
      <c r="C12" s="2" t="s">
        <v>19</v>
      </c>
      <c r="D12" s="9">
        <v>300000</v>
      </c>
      <c r="E12" s="9">
        <v>150000</v>
      </c>
      <c r="G12" t="s">
        <v>14</v>
      </c>
      <c r="H12" s="12">
        <v>200000</v>
      </c>
      <c r="J12" s="5" t="s">
        <v>18</v>
      </c>
      <c r="K12" s="14">
        <f>MIN(L4:L8)</f>
        <v>350000</v>
      </c>
    </row>
    <row r="13" spans="2:12" x14ac:dyDescent="0.4">
      <c r="C13" s="2" t="s">
        <v>20</v>
      </c>
      <c r="D13" s="9">
        <v>200000</v>
      </c>
      <c r="E13" s="9">
        <v>100000</v>
      </c>
      <c r="G13" t="s">
        <v>15</v>
      </c>
      <c r="H13" s="12">
        <v>100000</v>
      </c>
      <c r="J13" s="1"/>
      <c r="K13" s="6" t="s">
        <v>28</v>
      </c>
      <c r="L13" s="7" t="s">
        <v>29</v>
      </c>
    </row>
    <row r="14" spans="2:12" x14ac:dyDescent="0.4">
      <c r="C14" s="2" t="s">
        <v>21</v>
      </c>
      <c r="D14" s="9">
        <v>100000</v>
      </c>
      <c r="E14" s="9">
        <v>50000</v>
      </c>
      <c r="J14" s="7" t="s">
        <v>30</v>
      </c>
      <c r="K14" s="8">
        <f>COUNTIF(D4:D8, "A")</f>
        <v>2</v>
      </c>
      <c r="L14" s="9">
        <f>SUMIF(D4:D8,"A",L4:L8)</f>
        <v>2550000</v>
      </c>
    </row>
    <row r="15" spans="2:12" x14ac:dyDescent="0.4">
      <c r="J15" s="7" t="s">
        <v>31</v>
      </c>
      <c r="K15" s="8">
        <f>COUNTIF(D4:D8, "B")</f>
        <v>2</v>
      </c>
      <c r="L15" s="9">
        <f>SUMIF(D4:D8,"B",L4:L8)</f>
        <v>1500000</v>
      </c>
    </row>
    <row r="16" spans="2:12" x14ac:dyDescent="0.4">
      <c r="E16" s="15"/>
      <c r="J16" s="7" t="s">
        <v>32</v>
      </c>
      <c r="K16" s="8">
        <f>COUNTIF(D4:D8, "C")</f>
        <v>1</v>
      </c>
      <c r="L16" s="9">
        <f>SUMIF(D4:D8,"C",L4:L8)</f>
        <v>350000</v>
      </c>
    </row>
  </sheetData>
  <mergeCells count="11">
    <mergeCell ref="C10:E10"/>
    <mergeCell ref="G11:H11"/>
    <mergeCell ref="B1:L1"/>
    <mergeCell ref="B2:B3"/>
    <mergeCell ref="C2:C3"/>
    <mergeCell ref="D2:D3"/>
    <mergeCell ref="E2:E3"/>
    <mergeCell ref="F2:G2"/>
    <mergeCell ref="H2:H3"/>
    <mergeCell ref="I2:K2"/>
    <mergeCell ref="L2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 K16</cp:lastModifiedBy>
  <dcterms:created xsi:type="dcterms:W3CDTF">2021-06-21T13:08:16Z</dcterms:created>
  <dcterms:modified xsi:type="dcterms:W3CDTF">2026-08-24T14:22:58Z</dcterms:modified>
</cp:coreProperties>
</file>