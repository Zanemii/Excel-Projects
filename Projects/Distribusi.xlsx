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Distribusi\"/>
    </mc:Choice>
  </mc:AlternateContent>
  <xr:revisionPtr revIDLastSave="0" documentId="13_ncr:1_{041D71B8-D178-4597-B2D0-F5EA5A684F35}" xr6:coauthVersionLast="47" xr6:coauthVersionMax="47" xr10:uidLastSave="{00000000-0000-0000-0000-000000000000}"/>
  <bookViews>
    <workbookView xWindow="-108" yWindow="-108" windowWidth="23256" windowHeight="13896" xr2:uid="{46D4BEFD-E2CD-45F8-B6B5-13C2052FED5E}"/>
  </bookViews>
  <sheets>
    <sheet name="latihan" sheetId="2" r:id="rId1"/>
  </sheets>
  <definedNames>
    <definedName name="TABEL_DISTRIBUTOR">#REF!</definedName>
    <definedName name="TABEL_PRODUK">#REF!</definedName>
    <definedName name="TABEL_WILAYAH">#REF!</definedName>
    <definedName name="T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D8" i="2"/>
  <c r="D9" i="2"/>
  <c r="D10" i="2"/>
  <c r="D11" i="2"/>
  <c r="D12" i="2"/>
  <c r="D13" i="2"/>
  <c r="D14" i="2"/>
  <c r="D15" i="2"/>
  <c r="D16" i="2"/>
  <c r="D17" i="2"/>
  <c r="D18" i="2"/>
  <c r="D7" i="2"/>
  <c r="D5" i="2"/>
  <c r="D6" i="2"/>
  <c r="D4" i="2"/>
</calcChain>
</file>

<file path=xl/sharedStrings.xml><?xml version="1.0" encoding="utf-8"?>
<sst xmlns="http://schemas.openxmlformats.org/spreadsheetml/2006/main" count="69" uniqueCount="63">
  <si>
    <t>No</t>
  </si>
  <si>
    <t>Tanggal</t>
  </si>
  <si>
    <t>Produk</t>
  </si>
  <si>
    <t>Jumlah</t>
  </si>
  <si>
    <t>Diskon</t>
  </si>
  <si>
    <t>Penjualan Bersih</t>
  </si>
  <si>
    <t>Nama Distributor</t>
  </si>
  <si>
    <t>Kode</t>
  </si>
  <si>
    <t>Harga Satuan</t>
  </si>
  <si>
    <t>Wilayah</t>
  </si>
  <si>
    <t>Wilayah Distribusi</t>
  </si>
  <si>
    <t>Soal</t>
  </si>
  <si>
    <t>Distributor</t>
  </si>
  <si>
    <t>KV</t>
  </si>
  <si>
    <t>LM</t>
  </si>
  <si>
    <t>MC</t>
  </si>
  <si>
    <t>FL</t>
  </si>
  <si>
    <t>AW</t>
  </si>
  <si>
    <t>OPPO A37</t>
  </si>
  <si>
    <t>OPPO A53</t>
  </si>
  <si>
    <t>OPPO A59</t>
  </si>
  <si>
    <t>OPPO F1</t>
  </si>
  <si>
    <t>OPPO F9</t>
  </si>
  <si>
    <t>Kevin</t>
  </si>
  <si>
    <t>Luna Maya</t>
  </si>
  <si>
    <t>Maria Cristin</t>
  </si>
  <si>
    <t>Fitri Lestari</t>
  </si>
  <si>
    <t>Angga Wira</t>
  </si>
  <si>
    <t>Harga</t>
  </si>
  <si>
    <t>Bandung</t>
  </si>
  <si>
    <t>Jakarta</t>
  </si>
  <si>
    <t>Surabaya</t>
  </si>
  <si>
    <t>Yogyakarta</t>
  </si>
  <si>
    <t>Semarang</t>
  </si>
  <si>
    <t>BDG</t>
  </si>
  <si>
    <t>JKT</t>
  </si>
  <si>
    <t>SBY</t>
  </si>
  <si>
    <t>YGK</t>
  </si>
  <si>
    <t>SMG</t>
  </si>
  <si>
    <t>Catatan :</t>
  </si>
  <si>
    <t>Pembelian Lebih dari 50 Unit</t>
  </si>
  <si>
    <t>A1</t>
  </si>
  <si>
    <t>A2</t>
  </si>
  <si>
    <t>A3</t>
  </si>
  <si>
    <t>A4</t>
  </si>
  <si>
    <t>A5</t>
  </si>
  <si>
    <t>KVA1BDG</t>
  </si>
  <si>
    <t>KVA2JKT</t>
  </si>
  <si>
    <t>LMA3SMG</t>
  </si>
  <si>
    <t>AWA5BDG</t>
  </si>
  <si>
    <t>MCA3SMG</t>
  </si>
  <si>
    <t>KVA5JKT</t>
  </si>
  <si>
    <t>AWA1JKT</t>
  </si>
  <si>
    <t>FLA5YGK</t>
  </si>
  <si>
    <t>LMA3YGK</t>
  </si>
  <si>
    <t>MCA5BDG</t>
  </si>
  <si>
    <t>LMA2JKT</t>
  </si>
  <si>
    <t>MCA1SMG</t>
  </si>
  <si>
    <t>FLA1BDG</t>
  </si>
  <si>
    <t>FLA15YGK</t>
  </si>
  <si>
    <t>Diskon 10 %</t>
  </si>
  <si>
    <r>
      <rPr>
        <b/>
        <sz val="11"/>
        <rFont val="Yu Gothic UI Semibold"/>
        <family val="2"/>
      </rPr>
      <t>KV</t>
    </r>
    <r>
      <rPr>
        <sz val="11"/>
        <rFont val="Yu Gothic UI Semibold"/>
        <family val="2"/>
      </rPr>
      <t>A1BDG</t>
    </r>
  </si>
  <si>
    <t>Kode Faktur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</si>
</sst>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_-;_-@_-"/>
    <numFmt numFmtId="165" formatCode="_-* #,##0_-;\-* #,##0_-;_-* &quot;-&quot;_-;_-@_-"/>
    <numFmt numFmtId="166" formatCode="General\ &quot;Unit&quot;"/>
    <numFmt numFmtId="167" formatCode="[$-13809]dd/m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Yu Gothic UI Semibold"/>
      <family val="2"/>
    </font>
    <font>
      <b/>
      <sz val="11"/>
      <name val="Yu Gothic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3" xfId="0" applyNumberFormat="1" applyFont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165" fontId="4" fillId="0" borderId="0" xfId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4" fillId="0" borderId="10" xfId="0" applyFont="1" applyBorder="1"/>
    <xf numFmtId="167" fontId="4" fillId="0" borderId="10" xfId="0" applyNumberFormat="1" applyFont="1" applyBorder="1" applyAlignment="1">
      <alignment horizontal="center"/>
    </xf>
    <xf numFmtId="0" fontId="8" fillId="0" borderId="10" xfId="0" applyFont="1" applyBorder="1"/>
    <xf numFmtId="165" fontId="4" fillId="0" borderId="10" xfId="1" applyFont="1" applyBorder="1" applyAlignment="1">
      <alignment horizontal="right"/>
    </xf>
    <xf numFmtId="166" fontId="4" fillId="0" borderId="10" xfId="0" applyNumberFormat="1" applyFont="1" applyBorder="1" applyAlignment="1">
      <alignment horizontal="center"/>
    </xf>
    <xf numFmtId="9" fontId="4" fillId="0" borderId="10" xfId="0" applyNumberFormat="1" applyFont="1" applyBorder="1" applyAlignment="1">
      <alignment horizontal="right"/>
    </xf>
    <xf numFmtId="0" fontId="6" fillId="0" borderId="0" xfId="2" applyAlignment="1">
      <alignment horizontal="center"/>
    </xf>
    <xf numFmtId="0" fontId="0" fillId="0" borderId="0" xfId="0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7" fontId="5" fillId="3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5" fontId="5" fillId="3" borderId="10" xfId="1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BF44-9761-45E8-8E5E-B5D18BAF9482}">
  <sheetPr>
    <tabColor rgb="FF002060"/>
  </sheetPr>
  <dimension ref="A1:Q21"/>
  <sheetViews>
    <sheetView tabSelected="1" zoomScale="115" zoomScaleNormal="115" workbookViewId="0">
      <selection activeCell="J18" sqref="J18"/>
    </sheetView>
  </sheetViews>
  <sheetFormatPr defaultRowHeight="14.4" x14ac:dyDescent="0.3"/>
  <cols>
    <col min="1" max="1" width="4.109375" customWidth="1"/>
    <col min="2" max="2" width="9.44140625" bestFit="1" customWidth="1"/>
    <col min="3" max="3" width="11.44140625" bestFit="1" customWidth="1"/>
    <col min="4" max="4" width="13" customWidth="1"/>
    <col min="5" max="5" width="11.109375" customWidth="1"/>
    <col min="6" max="6" width="12.33203125" customWidth="1"/>
    <col min="7" max="7" width="13.109375" customWidth="1"/>
    <col min="8" max="8" width="8.5546875" bestFit="1" customWidth="1"/>
    <col min="9" max="9" width="7.44140625" customWidth="1"/>
    <col min="10" max="10" width="16" customWidth="1"/>
    <col min="11" max="11" width="0.5546875" customWidth="1"/>
    <col min="12" max="12" width="7.6640625" customWidth="1"/>
    <col min="13" max="13" width="13.109375" customWidth="1"/>
    <col min="14" max="14" width="0.5546875" customWidth="1"/>
    <col min="15" max="15" width="6.33203125" bestFit="1" customWidth="1"/>
    <col min="16" max="16" width="11.33203125" bestFit="1" customWidth="1"/>
    <col min="17" max="17" width="15.6640625" bestFit="1" customWidth="1"/>
  </cols>
  <sheetData>
    <row r="1" spans="1:17" ht="16.8" x14ac:dyDescent="0.4">
      <c r="A1" s="32" t="s">
        <v>11</v>
      </c>
      <c r="B1" s="32"/>
      <c r="C1" s="1"/>
      <c r="D1" s="1"/>
      <c r="E1" s="1"/>
      <c r="F1" s="1"/>
      <c r="G1" s="17"/>
      <c r="H1" s="2"/>
      <c r="I1" s="1"/>
      <c r="J1" s="17"/>
      <c r="K1" s="1"/>
      <c r="L1" s="1"/>
      <c r="M1" s="1"/>
      <c r="N1" s="1"/>
    </row>
    <row r="2" spans="1:17" ht="17.399999999999999" thickBot="1" x14ac:dyDescent="0.45">
      <c r="A2" s="31" t="s">
        <v>0</v>
      </c>
      <c r="B2" s="33" t="s">
        <v>1</v>
      </c>
      <c r="C2" s="31" t="s">
        <v>62</v>
      </c>
      <c r="D2" s="31" t="s">
        <v>6</v>
      </c>
      <c r="E2" s="31" t="s">
        <v>2</v>
      </c>
      <c r="F2" s="31" t="s">
        <v>10</v>
      </c>
      <c r="G2" s="35" t="s">
        <v>8</v>
      </c>
      <c r="H2" s="31" t="s">
        <v>3</v>
      </c>
      <c r="I2" s="31" t="s">
        <v>4</v>
      </c>
      <c r="J2" s="35" t="s">
        <v>5</v>
      </c>
      <c r="K2" s="1"/>
      <c r="L2" s="37" t="s">
        <v>12</v>
      </c>
      <c r="M2" s="38"/>
      <c r="N2" s="1"/>
    </row>
    <row r="3" spans="1:17" ht="17.399999999999999" thickBot="1" x14ac:dyDescent="0.45">
      <c r="A3" s="31"/>
      <c r="B3" s="33"/>
      <c r="C3" s="31"/>
      <c r="D3" s="31"/>
      <c r="E3" s="31"/>
      <c r="F3" s="31"/>
      <c r="G3" s="35"/>
      <c r="H3" s="31"/>
      <c r="I3" s="31"/>
      <c r="J3" s="35"/>
      <c r="K3" s="1"/>
      <c r="L3" s="7" t="s">
        <v>7</v>
      </c>
      <c r="M3" s="3" t="s">
        <v>12</v>
      </c>
      <c r="N3" s="1"/>
    </row>
    <row r="4" spans="1:17" ht="16.8" x14ac:dyDescent="0.4">
      <c r="A4" s="23">
        <v>1</v>
      </c>
      <c r="B4" s="24">
        <v>44206</v>
      </c>
      <c r="C4" s="25" t="s">
        <v>61</v>
      </c>
      <c r="D4" s="23" t="str">
        <f>VLOOKUP((LEFT(C4,2)),$L$3:$M$8,2)</f>
        <v>Kevin</v>
      </c>
      <c r="E4" s="23" t="str">
        <f>VLOOKUP(MID(C4,3,2),$O$6:$Q$11,2,)</f>
        <v>OPPO A37</v>
      </c>
      <c r="F4" s="23" t="str">
        <f>VLOOKUP(RIGHT(C4,3),$L$11:$M$16,2,FALSE)</f>
        <v>Bandung</v>
      </c>
      <c r="G4" s="26">
        <f>VLOOKUP(MID(C4,3,2),$O$6:$Q$11,3,FALSE)</f>
        <v>1500000</v>
      </c>
      <c r="H4" s="27">
        <v>56</v>
      </c>
      <c r="I4" s="28">
        <f>IF(H4&gt;50,10%,0%)</f>
        <v>0.1</v>
      </c>
      <c r="J4" s="26">
        <f>G4*H4-(G4*H4*I4)</f>
        <v>75600000</v>
      </c>
      <c r="K4" s="1"/>
      <c r="L4" s="11" t="s">
        <v>13</v>
      </c>
      <c r="M4" s="4" t="s">
        <v>23</v>
      </c>
      <c r="N4" s="1"/>
      <c r="O4" s="1"/>
      <c r="P4" s="1"/>
      <c r="Q4" s="1"/>
    </row>
    <row r="5" spans="1:17" ht="17.399999999999999" thickBot="1" x14ac:dyDescent="0.45">
      <c r="A5" s="23">
        <v>2</v>
      </c>
      <c r="B5" s="24">
        <v>44207</v>
      </c>
      <c r="C5" s="23" t="s">
        <v>47</v>
      </c>
      <c r="D5" s="23" t="str">
        <f t="shared" ref="D5:D18" si="0">VLOOKUP((LEFT(C5,2)),$L$3:$M$8,2)</f>
        <v>Kevin</v>
      </c>
      <c r="E5" s="23" t="str">
        <f t="shared" ref="E5:E18" si="1">VLOOKUP(MID(C5,3,2),$O$6:$Q$11,2,)</f>
        <v>OPPO A53</v>
      </c>
      <c r="F5" s="23" t="str">
        <f t="shared" ref="F5:F18" si="2">VLOOKUP(RIGHT(C5,3),$L$11:$M$16,2,FALSE)</f>
        <v>Jakarta</v>
      </c>
      <c r="G5" s="26">
        <f t="shared" ref="G5:G18" si="3">VLOOKUP(MID(C5,3,2),$O$6:$Q$11,3,FALSE)</f>
        <v>2000000</v>
      </c>
      <c r="H5" s="27">
        <v>23</v>
      </c>
      <c r="I5" s="28">
        <f t="shared" ref="I5:I18" si="4">IF(H5&gt;50,10%,0%)</f>
        <v>0</v>
      </c>
      <c r="J5" s="26">
        <f t="shared" ref="J5:J18" si="5">G5*H5-(G5*H5*I5)</f>
        <v>46000000</v>
      </c>
      <c r="K5" s="1"/>
      <c r="L5" s="12" t="s">
        <v>14</v>
      </c>
      <c r="M5" s="5" t="s">
        <v>24</v>
      </c>
      <c r="N5" s="1"/>
      <c r="O5" s="37" t="s">
        <v>2</v>
      </c>
      <c r="P5" s="37"/>
      <c r="Q5" s="37"/>
    </row>
    <row r="6" spans="1:17" ht="17.399999999999999" thickBot="1" x14ac:dyDescent="0.45">
      <c r="A6" s="23">
        <v>3</v>
      </c>
      <c r="B6" s="24">
        <v>44208</v>
      </c>
      <c r="C6" s="23" t="s">
        <v>48</v>
      </c>
      <c r="D6" s="23" t="str">
        <f t="shared" si="0"/>
        <v>Luna Maya</v>
      </c>
      <c r="E6" s="23" t="str">
        <f t="shared" si="1"/>
        <v>OPPO A59</v>
      </c>
      <c r="F6" s="23" t="str">
        <f t="shared" si="2"/>
        <v>Semarang</v>
      </c>
      <c r="G6" s="26">
        <f t="shared" si="3"/>
        <v>2500000</v>
      </c>
      <c r="H6" s="27">
        <v>85</v>
      </c>
      <c r="I6" s="28">
        <f t="shared" si="4"/>
        <v>0.1</v>
      </c>
      <c r="J6" s="26">
        <f t="shared" si="5"/>
        <v>191250000</v>
      </c>
      <c r="K6" s="1"/>
      <c r="L6" s="12" t="s">
        <v>15</v>
      </c>
      <c r="M6" s="5" t="s">
        <v>25</v>
      </c>
      <c r="N6" s="1"/>
      <c r="O6" s="21" t="s">
        <v>7</v>
      </c>
      <c r="P6" s="21" t="s">
        <v>2</v>
      </c>
      <c r="Q6" s="22" t="s">
        <v>28</v>
      </c>
    </row>
    <row r="7" spans="1:17" ht="16.8" x14ac:dyDescent="0.4">
      <c r="A7" s="23">
        <v>4</v>
      </c>
      <c r="B7" s="24">
        <v>44209</v>
      </c>
      <c r="C7" s="23" t="s">
        <v>58</v>
      </c>
      <c r="D7" s="23" t="str">
        <f>VLOOKUP((LEFT(C7,2)),$L$3:$M$8,2,)</f>
        <v>Fitri Lestari</v>
      </c>
      <c r="E7" s="23" t="str">
        <f t="shared" si="1"/>
        <v>OPPO A37</v>
      </c>
      <c r="F7" s="23" t="str">
        <f t="shared" si="2"/>
        <v>Bandung</v>
      </c>
      <c r="G7" s="26">
        <f t="shared" si="3"/>
        <v>1500000</v>
      </c>
      <c r="H7" s="27">
        <v>56</v>
      </c>
      <c r="I7" s="28">
        <f t="shared" si="4"/>
        <v>0.1</v>
      </c>
      <c r="J7" s="26">
        <f t="shared" si="5"/>
        <v>75600000</v>
      </c>
      <c r="K7" s="1"/>
      <c r="L7" s="12" t="s">
        <v>16</v>
      </c>
      <c r="M7" s="5" t="s">
        <v>26</v>
      </c>
      <c r="N7" s="1"/>
      <c r="O7" s="11" t="s">
        <v>41</v>
      </c>
      <c r="P7" s="8" t="s">
        <v>18</v>
      </c>
      <c r="Q7" s="14">
        <v>1500000</v>
      </c>
    </row>
    <row r="8" spans="1:17" ht="17.399999999999999" thickBot="1" x14ac:dyDescent="0.45">
      <c r="A8" s="23">
        <v>5</v>
      </c>
      <c r="B8" s="24">
        <v>44210</v>
      </c>
      <c r="C8" s="23" t="s">
        <v>57</v>
      </c>
      <c r="D8" s="23" t="str">
        <f t="shared" ref="D8:D18" si="6">VLOOKUP((LEFT(C8,2)),$L$3:$M$8,2,)</f>
        <v>Maria Cristin</v>
      </c>
      <c r="E8" s="23" t="str">
        <f t="shared" si="1"/>
        <v>OPPO A37</v>
      </c>
      <c r="F8" s="23" t="str">
        <f t="shared" si="2"/>
        <v>Semarang</v>
      </c>
      <c r="G8" s="26">
        <f t="shared" si="3"/>
        <v>1500000</v>
      </c>
      <c r="H8" s="27">
        <v>62</v>
      </c>
      <c r="I8" s="28">
        <f t="shared" si="4"/>
        <v>0.1</v>
      </c>
      <c r="J8" s="26">
        <f t="shared" si="5"/>
        <v>83700000</v>
      </c>
      <c r="K8" s="1"/>
      <c r="L8" s="13" t="s">
        <v>17</v>
      </c>
      <c r="M8" s="6" t="s">
        <v>27</v>
      </c>
      <c r="N8" s="1"/>
      <c r="O8" s="12" t="s">
        <v>42</v>
      </c>
      <c r="P8" s="9" t="s">
        <v>19</v>
      </c>
      <c r="Q8" s="15">
        <v>2000000</v>
      </c>
    </row>
    <row r="9" spans="1:17" ht="16.8" x14ac:dyDescent="0.4">
      <c r="A9" s="23">
        <v>6</v>
      </c>
      <c r="B9" s="24">
        <v>44211</v>
      </c>
      <c r="C9" s="23" t="s">
        <v>49</v>
      </c>
      <c r="D9" s="23" t="str">
        <f t="shared" si="6"/>
        <v>Angga Wira</v>
      </c>
      <c r="E9" s="23" t="str">
        <f t="shared" si="1"/>
        <v>OPPO F9</v>
      </c>
      <c r="F9" s="23" t="str">
        <f t="shared" si="2"/>
        <v>Bandung</v>
      </c>
      <c r="G9" s="26">
        <f t="shared" si="3"/>
        <v>10000000</v>
      </c>
      <c r="H9" s="27">
        <v>23</v>
      </c>
      <c r="I9" s="28">
        <f t="shared" si="4"/>
        <v>0</v>
      </c>
      <c r="J9" s="26">
        <f t="shared" si="5"/>
        <v>230000000</v>
      </c>
      <c r="K9" s="1"/>
      <c r="L9" s="18"/>
      <c r="M9" s="1"/>
      <c r="N9" s="1"/>
      <c r="O9" s="12" t="s">
        <v>43</v>
      </c>
      <c r="P9" s="9" t="s">
        <v>20</v>
      </c>
      <c r="Q9" s="15">
        <v>2500000</v>
      </c>
    </row>
    <row r="10" spans="1:17" ht="17.399999999999999" thickBot="1" x14ac:dyDescent="0.45">
      <c r="A10" s="23">
        <v>7</v>
      </c>
      <c r="B10" s="24">
        <v>44212</v>
      </c>
      <c r="C10" s="23" t="s">
        <v>50</v>
      </c>
      <c r="D10" s="23" t="str">
        <f t="shared" si="6"/>
        <v>Maria Cristin</v>
      </c>
      <c r="E10" s="23" t="str">
        <f t="shared" si="1"/>
        <v>OPPO A59</v>
      </c>
      <c r="F10" s="23" t="str">
        <f t="shared" si="2"/>
        <v>Semarang</v>
      </c>
      <c r="G10" s="26">
        <f t="shared" si="3"/>
        <v>2500000</v>
      </c>
      <c r="H10" s="27">
        <v>60</v>
      </c>
      <c r="I10" s="28">
        <f t="shared" si="4"/>
        <v>0.1</v>
      </c>
      <c r="J10" s="26">
        <f t="shared" si="5"/>
        <v>135000000</v>
      </c>
      <c r="K10" s="1"/>
      <c r="L10" s="37" t="s">
        <v>9</v>
      </c>
      <c r="M10" s="38"/>
      <c r="N10" s="1"/>
      <c r="O10" s="12" t="s">
        <v>44</v>
      </c>
      <c r="P10" s="9" t="s">
        <v>21</v>
      </c>
      <c r="Q10" s="15">
        <v>5000000</v>
      </c>
    </row>
    <row r="11" spans="1:17" ht="17.399999999999999" thickBot="1" x14ac:dyDescent="0.45">
      <c r="A11" s="23">
        <v>8</v>
      </c>
      <c r="B11" s="24">
        <v>44213</v>
      </c>
      <c r="C11" s="23" t="s">
        <v>51</v>
      </c>
      <c r="D11" s="23" t="str">
        <f t="shared" si="6"/>
        <v>Kevin</v>
      </c>
      <c r="E11" s="23" t="str">
        <f t="shared" si="1"/>
        <v>OPPO F9</v>
      </c>
      <c r="F11" s="23" t="str">
        <f t="shared" si="2"/>
        <v>Jakarta</v>
      </c>
      <c r="G11" s="26">
        <f t="shared" si="3"/>
        <v>10000000</v>
      </c>
      <c r="H11" s="27">
        <v>35</v>
      </c>
      <c r="I11" s="28">
        <f t="shared" si="4"/>
        <v>0</v>
      </c>
      <c r="J11" s="26">
        <f t="shared" si="5"/>
        <v>350000000</v>
      </c>
      <c r="K11" s="1"/>
      <c r="L11" s="21" t="s">
        <v>7</v>
      </c>
      <c r="M11" s="21" t="s">
        <v>9</v>
      </c>
      <c r="N11" s="1"/>
      <c r="O11" s="13" t="s">
        <v>45</v>
      </c>
      <c r="P11" s="10" t="s">
        <v>22</v>
      </c>
      <c r="Q11" s="16">
        <v>10000000</v>
      </c>
    </row>
    <row r="12" spans="1:17" ht="16.8" x14ac:dyDescent="0.4">
      <c r="A12" s="23">
        <v>9</v>
      </c>
      <c r="B12" s="24">
        <v>44214</v>
      </c>
      <c r="C12" s="23" t="s">
        <v>52</v>
      </c>
      <c r="D12" s="23" t="str">
        <f t="shared" si="6"/>
        <v>Angga Wira</v>
      </c>
      <c r="E12" s="23" t="str">
        <f t="shared" si="1"/>
        <v>OPPO A37</v>
      </c>
      <c r="F12" s="23" t="str">
        <f t="shared" si="2"/>
        <v>Jakarta</v>
      </c>
      <c r="G12" s="26">
        <f t="shared" si="3"/>
        <v>1500000</v>
      </c>
      <c r="H12" s="27">
        <v>66</v>
      </c>
      <c r="I12" s="28">
        <f t="shared" si="4"/>
        <v>0.1</v>
      </c>
      <c r="J12" s="26">
        <f t="shared" si="5"/>
        <v>89100000</v>
      </c>
      <c r="K12" s="1"/>
      <c r="L12" s="11" t="s">
        <v>34</v>
      </c>
      <c r="M12" s="8" t="s">
        <v>29</v>
      </c>
      <c r="N12" s="1"/>
      <c r="O12" s="1"/>
      <c r="P12" s="1"/>
      <c r="Q12" s="1"/>
    </row>
    <row r="13" spans="1:17" ht="16.8" x14ac:dyDescent="0.4">
      <c r="A13" s="23">
        <v>10</v>
      </c>
      <c r="B13" s="24">
        <v>44215</v>
      </c>
      <c r="C13" s="23" t="s">
        <v>53</v>
      </c>
      <c r="D13" s="23" t="str">
        <f t="shared" si="6"/>
        <v>Fitri Lestari</v>
      </c>
      <c r="E13" s="23" t="str">
        <f t="shared" si="1"/>
        <v>OPPO F9</v>
      </c>
      <c r="F13" s="23" t="str">
        <f t="shared" si="2"/>
        <v>Yogyakarta</v>
      </c>
      <c r="G13" s="26">
        <f t="shared" si="3"/>
        <v>10000000</v>
      </c>
      <c r="H13" s="27">
        <v>47</v>
      </c>
      <c r="I13" s="28">
        <f t="shared" si="4"/>
        <v>0</v>
      </c>
      <c r="J13" s="26">
        <f t="shared" si="5"/>
        <v>470000000</v>
      </c>
      <c r="K13" s="1"/>
      <c r="L13" s="12" t="s">
        <v>35</v>
      </c>
      <c r="M13" s="9" t="s">
        <v>30</v>
      </c>
      <c r="N13" s="1"/>
      <c r="O13" s="36" t="s">
        <v>39</v>
      </c>
      <c r="P13" s="36"/>
      <c r="Q13" s="36"/>
    </row>
    <row r="14" spans="1:17" ht="16.8" x14ac:dyDescent="0.4">
      <c r="A14" s="23">
        <v>11</v>
      </c>
      <c r="B14" s="24">
        <v>44216</v>
      </c>
      <c r="C14" s="23" t="s">
        <v>46</v>
      </c>
      <c r="D14" s="23" t="str">
        <f t="shared" si="6"/>
        <v>Kevin</v>
      </c>
      <c r="E14" s="23" t="str">
        <f t="shared" si="1"/>
        <v>OPPO A37</v>
      </c>
      <c r="F14" s="23" t="str">
        <f t="shared" si="2"/>
        <v>Bandung</v>
      </c>
      <c r="G14" s="26">
        <f t="shared" si="3"/>
        <v>1500000</v>
      </c>
      <c r="H14" s="27">
        <v>81</v>
      </c>
      <c r="I14" s="28">
        <f t="shared" si="4"/>
        <v>0.1</v>
      </c>
      <c r="J14" s="26">
        <f t="shared" si="5"/>
        <v>109350000</v>
      </c>
      <c r="K14" s="1"/>
      <c r="L14" s="12" t="s">
        <v>36</v>
      </c>
      <c r="M14" s="9" t="s">
        <v>31</v>
      </c>
      <c r="N14" s="1"/>
      <c r="O14" s="32" t="s">
        <v>40</v>
      </c>
      <c r="P14" s="32"/>
      <c r="Q14" s="32"/>
    </row>
    <row r="15" spans="1:17" ht="16.8" x14ac:dyDescent="0.4">
      <c r="A15" s="23">
        <v>12</v>
      </c>
      <c r="B15" s="24">
        <v>44217</v>
      </c>
      <c r="C15" s="23" t="s">
        <v>54</v>
      </c>
      <c r="D15" s="23" t="str">
        <f t="shared" si="6"/>
        <v>Luna Maya</v>
      </c>
      <c r="E15" s="23" t="str">
        <f t="shared" si="1"/>
        <v>OPPO A59</v>
      </c>
      <c r="F15" s="23" t="str">
        <f t="shared" si="2"/>
        <v>Yogyakarta</v>
      </c>
      <c r="G15" s="26">
        <f t="shared" si="3"/>
        <v>2500000</v>
      </c>
      <c r="H15" s="27">
        <v>59</v>
      </c>
      <c r="I15" s="28">
        <f t="shared" si="4"/>
        <v>0.1</v>
      </c>
      <c r="J15" s="26">
        <f t="shared" si="5"/>
        <v>132750000</v>
      </c>
      <c r="K15" s="1"/>
      <c r="L15" s="12" t="s">
        <v>37</v>
      </c>
      <c r="M15" s="9" t="s">
        <v>32</v>
      </c>
      <c r="N15" s="1"/>
      <c r="O15" s="34" t="s">
        <v>60</v>
      </c>
      <c r="P15" s="32"/>
      <c r="Q15" s="32"/>
    </row>
    <row r="16" spans="1:17" ht="17.399999999999999" thickBot="1" x14ac:dyDescent="0.45">
      <c r="A16" s="23">
        <v>13</v>
      </c>
      <c r="B16" s="24">
        <v>44218</v>
      </c>
      <c r="C16" s="23" t="s">
        <v>55</v>
      </c>
      <c r="D16" s="23" t="str">
        <f t="shared" si="6"/>
        <v>Maria Cristin</v>
      </c>
      <c r="E16" s="23" t="str">
        <f t="shared" si="1"/>
        <v>OPPO F9</v>
      </c>
      <c r="F16" s="23" t="str">
        <f t="shared" si="2"/>
        <v>Bandung</v>
      </c>
      <c r="G16" s="26">
        <f t="shared" si="3"/>
        <v>10000000</v>
      </c>
      <c r="H16" s="27">
        <v>25</v>
      </c>
      <c r="I16" s="28">
        <f t="shared" si="4"/>
        <v>0</v>
      </c>
      <c r="J16" s="26">
        <f t="shared" si="5"/>
        <v>250000000</v>
      </c>
      <c r="K16" s="1"/>
      <c r="L16" s="13" t="s">
        <v>38</v>
      </c>
      <c r="M16" s="10" t="s">
        <v>33</v>
      </c>
      <c r="N16" s="1"/>
      <c r="O16" s="1"/>
      <c r="P16" s="1"/>
      <c r="Q16" s="1"/>
    </row>
    <row r="17" spans="1:17" ht="16.8" x14ac:dyDescent="0.4">
      <c r="A17" s="23">
        <v>14</v>
      </c>
      <c r="B17" s="24">
        <v>44219</v>
      </c>
      <c r="C17" s="23" t="s">
        <v>56</v>
      </c>
      <c r="D17" s="23" t="str">
        <f t="shared" si="6"/>
        <v>Luna Maya</v>
      </c>
      <c r="E17" s="23" t="str">
        <f t="shared" si="1"/>
        <v>OPPO A53</v>
      </c>
      <c r="F17" s="23" t="str">
        <f t="shared" si="2"/>
        <v>Jakarta</v>
      </c>
      <c r="G17" s="26">
        <f t="shared" si="3"/>
        <v>2000000</v>
      </c>
      <c r="H17" s="27">
        <v>64</v>
      </c>
      <c r="I17" s="28">
        <f t="shared" si="4"/>
        <v>0.1</v>
      </c>
      <c r="J17" s="26">
        <f t="shared" si="5"/>
        <v>115200000</v>
      </c>
      <c r="K17" s="1"/>
      <c r="L17" s="1"/>
      <c r="M17" s="1"/>
      <c r="N17" s="18"/>
      <c r="O17" s="1"/>
      <c r="P17" s="1"/>
      <c r="Q17" s="1"/>
    </row>
    <row r="18" spans="1:17" ht="16.8" x14ac:dyDescent="0.4">
      <c r="A18" s="23">
        <v>15</v>
      </c>
      <c r="B18" s="24">
        <v>44220</v>
      </c>
      <c r="C18" s="23" t="s">
        <v>59</v>
      </c>
      <c r="D18" s="23" t="str">
        <f t="shared" si="6"/>
        <v>Fitri Lestari</v>
      </c>
      <c r="E18" s="23" t="str">
        <f t="shared" si="1"/>
        <v>OPPO A37</v>
      </c>
      <c r="F18" s="23" t="str">
        <f t="shared" si="2"/>
        <v>Yogyakarta</v>
      </c>
      <c r="G18" s="26">
        <f t="shared" si="3"/>
        <v>1500000</v>
      </c>
      <c r="H18" s="27">
        <v>44</v>
      </c>
      <c r="I18" s="28">
        <f t="shared" si="4"/>
        <v>0</v>
      </c>
      <c r="J18" s="26">
        <f t="shared" si="5"/>
        <v>66000000</v>
      </c>
      <c r="K18" s="1"/>
      <c r="L18" s="19"/>
      <c r="M18" s="18"/>
      <c r="N18" s="20"/>
      <c r="O18" s="1"/>
      <c r="P18" s="1"/>
      <c r="Q18" s="1"/>
    </row>
    <row r="19" spans="1:17" ht="16.8" x14ac:dyDescent="0.4">
      <c r="L19" s="20"/>
      <c r="M19" s="20"/>
      <c r="O19" s="1"/>
      <c r="P19" s="1"/>
      <c r="Q19" s="1"/>
    </row>
    <row r="20" spans="1:17" ht="16.8" x14ac:dyDescent="0.4">
      <c r="E20" s="29"/>
      <c r="F20" s="30"/>
      <c r="G20" s="30"/>
      <c r="H20" s="30"/>
      <c r="I20" s="30"/>
      <c r="J20" s="30"/>
      <c r="O20" s="18"/>
      <c r="P20" s="18"/>
      <c r="Q20" s="18"/>
    </row>
    <row r="21" spans="1:17" ht="15.6" x14ac:dyDescent="0.3">
      <c r="O21" s="20"/>
      <c r="P21" s="20"/>
      <c r="Q21" s="20"/>
    </row>
  </sheetData>
  <mergeCells count="18">
    <mergeCell ref="O14:Q14"/>
    <mergeCell ref="O15:Q15"/>
    <mergeCell ref="F2:F3"/>
    <mergeCell ref="G2:G3"/>
    <mergeCell ref="H2:H3"/>
    <mergeCell ref="I2:I3"/>
    <mergeCell ref="J2:J3"/>
    <mergeCell ref="O13:Q13"/>
    <mergeCell ref="L2:M2"/>
    <mergeCell ref="O5:Q5"/>
    <mergeCell ref="L10:M10"/>
    <mergeCell ref="E20:J20"/>
    <mergeCell ref="E2:E3"/>
    <mergeCell ref="A1:B1"/>
    <mergeCell ref="A2:A3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 K16</cp:lastModifiedBy>
  <dcterms:created xsi:type="dcterms:W3CDTF">2021-05-29T10:46:00Z</dcterms:created>
  <dcterms:modified xsi:type="dcterms:W3CDTF">2026-08-15T06:24:29Z</dcterms:modified>
</cp:coreProperties>
</file>