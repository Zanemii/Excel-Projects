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Learn\BELAJAR EXCEL SKUY\Latsol\Empty\"/>
    </mc:Choice>
  </mc:AlternateContent>
  <xr:revisionPtr revIDLastSave="0" documentId="13_ncr:1_{30146E9A-350E-4DE5-AF5C-98F615429217}" xr6:coauthVersionLast="47" xr6:coauthVersionMax="47" xr10:uidLastSave="{00000000-0000-0000-0000-000000000000}"/>
  <bookViews>
    <workbookView xWindow="-108" yWindow="-108" windowWidth="23256" windowHeight="13896" xr2:uid="{02F57A1A-8E16-4479-B169-5D6BA177BF85}"/>
  </bookViews>
  <sheets>
    <sheet name="XL-Test" sheetId="1" r:id="rId1"/>
    <sheet name="DATA" sheetId="2" r:id="rId2"/>
    <sheet name="About" sheetId="5" r:id="rId3"/>
    <sheet name="DF" sheetId="3" state="veryHidden" r:id="rId4"/>
  </sheets>
  <definedNames>
    <definedName name="_xlnm._FilterDatabase" localSheetId="1" hidden="1">DATA!$B$2:$E$2</definedName>
    <definedName name="_xlnm._FilterDatabase" localSheetId="0" hidden="1">'XL-Test'!$A$48:$E$73</definedName>
    <definedName name="kode_jawaban">DF!$D$33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4" i="1" l="1"/>
  <c r="M51" i="1"/>
  <c r="J52" i="1" l="1"/>
  <c r="J53" i="1"/>
  <c r="J54" i="1"/>
  <c r="H3" i="3" s="1"/>
  <c r="J55" i="1"/>
  <c r="J56" i="1"/>
  <c r="J57" i="1"/>
  <c r="J58" i="1"/>
  <c r="H4" i="3" s="1"/>
  <c r="J59" i="1"/>
  <c r="J60" i="1"/>
  <c r="H5" i="3" s="1"/>
  <c r="J61" i="1"/>
  <c r="H6" i="3" s="1"/>
  <c r="J62" i="1"/>
  <c r="J63" i="1"/>
  <c r="J64" i="1"/>
  <c r="J65" i="1"/>
  <c r="J66" i="1"/>
  <c r="J67" i="1"/>
  <c r="J68" i="1"/>
  <c r="J69" i="1"/>
  <c r="H9" i="3" s="1"/>
  <c r="J70" i="1"/>
  <c r="J71" i="1"/>
  <c r="H10" i="3" s="1"/>
  <c r="J72" i="1"/>
  <c r="J73" i="1"/>
  <c r="H11" i="3" s="1"/>
  <c r="J51" i="1"/>
  <c r="H52" i="1"/>
  <c r="H53" i="1"/>
  <c r="H54" i="1"/>
  <c r="F3" i="3" s="1"/>
  <c r="H55" i="1"/>
  <c r="H56" i="1"/>
  <c r="H57" i="1"/>
  <c r="H58" i="1"/>
  <c r="F4" i="3" s="1"/>
  <c r="H59" i="1"/>
  <c r="H60" i="1"/>
  <c r="F5" i="3" s="1"/>
  <c r="H61" i="1"/>
  <c r="F6" i="3" s="1"/>
  <c r="H62" i="1"/>
  <c r="H63" i="1"/>
  <c r="H64" i="1"/>
  <c r="F7" i="3" s="1"/>
  <c r="H65" i="1"/>
  <c r="F8" i="3" s="1"/>
  <c r="H66" i="1"/>
  <c r="H67" i="1"/>
  <c r="H68" i="1"/>
  <c r="H69" i="1"/>
  <c r="F9" i="3" s="1"/>
  <c r="H70" i="1"/>
  <c r="H71" i="1"/>
  <c r="F10" i="3" s="1"/>
  <c r="H72" i="1"/>
  <c r="H73" i="1"/>
  <c r="F11" i="3" s="1"/>
  <c r="H51" i="1"/>
  <c r="G52" i="1"/>
  <c r="G53" i="1"/>
  <c r="G54" i="1"/>
  <c r="G55" i="1"/>
  <c r="G56" i="1"/>
  <c r="G57" i="1"/>
  <c r="G58" i="1"/>
  <c r="G59" i="1"/>
  <c r="G60" i="1"/>
  <c r="E5" i="3" s="1"/>
  <c r="G61" i="1"/>
  <c r="E6" i="3" s="1"/>
  <c r="G62" i="1"/>
  <c r="G63" i="1"/>
  <c r="G64" i="1"/>
  <c r="E7" i="3" s="1"/>
  <c r="G65" i="1"/>
  <c r="E8" i="3" s="1"/>
  <c r="G66" i="1"/>
  <c r="G67" i="1"/>
  <c r="G68" i="1"/>
  <c r="G69" i="1"/>
  <c r="E9" i="3" s="1"/>
  <c r="G70" i="1"/>
  <c r="G71" i="1"/>
  <c r="E10" i="3" s="1"/>
  <c r="G72" i="1"/>
  <c r="G73" i="1"/>
  <c r="E11" i="3" s="1"/>
  <c r="G51" i="1"/>
  <c r="F52" i="1"/>
  <c r="F53" i="1"/>
  <c r="F54" i="1"/>
  <c r="D3" i="3" s="1"/>
  <c r="F55" i="1"/>
  <c r="I55" i="1" s="1"/>
  <c r="F56" i="1"/>
  <c r="F57" i="1"/>
  <c r="F58" i="1"/>
  <c r="F59" i="1"/>
  <c r="F60" i="1"/>
  <c r="F61" i="1"/>
  <c r="F62" i="1"/>
  <c r="F63" i="1"/>
  <c r="F64" i="1"/>
  <c r="D7" i="3" s="1"/>
  <c r="F65" i="1"/>
  <c r="D8" i="3" s="1"/>
  <c r="F66" i="1"/>
  <c r="I66" i="1" s="1"/>
  <c r="F67" i="1"/>
  <c r="I67" i="1" s="1"/>
  <c r="F68" i="1"/>
  <c r="F69" i="1"/>
  <c r="F70" i="1"/>
  <c r="F71" i="1"/>
  <c r="F72" i="1"/>
  <c r="F73" i="1"/>
  <c r="D11" i="3" s="1"/>
  <c r="F51" i="1"/>
  <c r="D5" i="3"/>
  <c r="H8" i="3"/>
  <c r="H7" i="3"/>
  <c r="E4" i="3"/>
  <c r="E3" i="3"/>
  <c r="D9" i="3"/>
  <c r="D6" i="3"/>
  <c r="D4" i="3"/>
  <c r="E20" i="3"/>
  <c r="F20" i="3"/>
  <c r="G20" i="3"/>
  <c r="H20" i="3"/>
  <c r="I20" i="3"/>
  <c r="J20" i="3"/>
  <c r="K20" i="3"/>
  <c r="L20" i="3"/>
  <c r="M20" i="3"/>
  <c r="D20" i="3"/>
  <c r="E19" i="3"/>
  <c r="F19" i="3"/>
  <c r="G19" i="3"/>
  <c r="H19" i="3"/>
  <c r="I19" i="3"/>
  <c r="J19" i="3"/>
  <c r="K19" i="3"/>
  <c r="L19" i="3"/>
  <c r="M19" i="3"/>
  <c r="D19" i="3"/>
  <c r="B17" i="3"/>
  <c r="M26" i="3"/>
  <c r="L54" i="3"/>
  <c r="H57" i="3"/>
  <c r="H41" i="3"/>
  <c r="W16" i="3"/>
  <c r="G56" i="3"/>
  <c r="W20" i="3"/>
  <c r="H48" i="3"/>
  <c r="E45" i="3"/>
  <c r="H47" i="3"/>
  <c r="G44" i="3"/>
  <c r="L50" i="3"/>
  <c r="G48" i="3"/>
  <c r="J43" i="3"/>
  <c r="K56" i="3"/>
  <c r="J49" i="3"/>
  <c r="D45" i="3"/>
  <c r="G55" i="3"/>
  <c r="I56" i="3"/>
  <c r="G41" i="3"/>
  <c r="I39" i="3"/>
  <c r="F45" i="3"/>
  <c r="H43" i="3"/>
  <c r="E47" i="3"/>
  <c r="L47" i="3"/>
  <c r="D48" i="3"/>
  <c r="W5" i="3"/>
  <c r="I55" i="3"/>
  <c r="J45" i="3"/>
  <c r="E40" i="3"/>
  <c r="W19" i="3"/>
  <c r="J50" i="3"/>
  <c r="W4" i="3"/>
  <c r="H40" i="3"/>
  <c r="J56" i="3"/>
  <c r="G39" i="3"/>
  <c r="E52" i="3"/>
  <c r="K58" i="3"/>
  <c r="I47" i="3"/>
  <c r="W9" i="3"/>
  <c r="F42" i="3"/>
  <c r="F48" i="3"/>
  <c r="L49" i="3"/>
  <c r="D42" i="3"/>
  <c r="W6" i="3"/>
  <c r="J37" i="3"/>
  <c r="W17" i="3"/>
  <c r="J42" i="3"/>
  <c r="I40" i="3"/>
  <c r="L38" i="3"/>
  <c r="I53" i="3"/>
  <c r="G54" i="3"/>
  <c r="W10" i="3"/>
  <c r="D57" i="3"/>
  <c r="E55" i="3"/>
  <c r="K51" i="3"/>
  <c r="K40" i="3"/>
  <c r="H56" i="3"/>
  <c r="E53" i="3"/>
  <c r="H55" i="3"/>
  <c r="H45" i="3"/>
  <c r="L48" i="3"/>
  <c r="I57" i="3"/>
  <c r="L58" i="3"/>
  <c r="I51" i="3"/>
  <c r="I37" i="3"/>
  <c r="L53" i="3"/>
  <c r="J39" i="3"/>
  <c r="H52" i="3"/>
  <c r="E49" i="3"/>
  <c r="D36" i="3"/>
  <c r="E44" i="3"/>
  <c r="L42" i="3"/>
  <c r="K36" i="3"/>
  <c r="E41" i="3"/>
  <c r="D58" i="3"/>
  <c r="E42" i="3"/>
  <c r="H49" i="3"/>
  <c r="K54" i="3"/>
  <c r="H38" i="3"/>
  <c r="I52" i="3"/>
  <c r="Z2" i="3"/>
  <c r="D46" i="3"/>
  <c r="G57" i="3"/>
  <c r="K39" i="3"/>
  <c r="J36" i="3"/>
  <c r="J54" i="3"/>
  <c r="I44" i="3"/>
  <c r="L40" i="3"/>
  <c r="F52" i="3"/>
  <c r="L45" i="3"/>
  <c r="I36" i="3"/>
  <c r="G45" i="3"/>
  <c r="G42" i="3"/>
  <c r="K55" i="3"/>
  <c r="K43" i="3"/>
  <c r="D40" i="3"/>
  <c r="F56" i="3"/>
  <c r="J44" i="3"/>
  <c r="F36" i="3"/>
  <c r="G38" i="3"/>
  <c r="W13" i="3"/>
  <c r="AA2" i="3"/>
  <c r="L36" i="3"/>
  <c r="F38" i="3"/>
  <c r="AC2" i="3"/>
  <c r="L55" i="3"/>
  <c r="X2" i="3"/>
  <c r="D39" i="3"/>
  <c r="F57" i="3"/>
  <c r="G46" i="3"/>
  <c r="F37" i="3"/>
  <c r="W12" i="3"/>
  <c r="L39" i="3"/>
  <c r="H50" i="3"/>
  <c r="F46" i="3"/>
  <c r="I46" i="3"/>
  <c r="W7" i="3"/>
  <c r="I54" i="3"/>
  <c r="W15" i="3"/>
  <c r="E58" i="3"/>
  <c r="F50" i="3"/>
  <c r="I45" i="3"/>
  <c r="D55" i="3"/>
  <c r="G50" i="3"/>
  <c r="AD2" i="3"/>
  <c r="J40" i="3"/>
  <c r="E46" i="3"/>
  <c r="K49" i="3"/>
  <c r="L56" i="3"/>
  <c r="L57" i="3"/>
  <c r="F53" i="3"/>
  <c r="J52" i="3"/>
  <c r="W8" i="3"/>
  <c r="K48" i="3"/>
  <c r="D54" i="3"/>
  <c r="K41" i="3"/>
  <c r="H39" i="3"/>
  <c r="G37" i="3"/>
  <c r="J48" i="3"/>
  <c r="G49" i="3"/>
  <c r="K45" i="3"/>
  <c r="H42" i="3"/>
  <c r="K44" i="3"/>
  <c r="F43" i="3"/>
  <c r="F39" i="3"/>
  <c r="G53" i="3"/>
  <c r="J46" i="3"/>
  <c r="D50" i="3"/>
  <c r="K50" i="3"/>
  <c r="K37" i="3"/>
  <c r="G40" i="3"/>
  <c r="K47" i="3"/>
  <c r="E39" i="3"/>
  <c r="D51" i="3"/>
  <c r="E48" i="3"/>
  <c r="G52" i="3"/>
  <c r="D52" i="3"/>
  <c r="H46" i="3"/>
  <c r="E36" i="3"/>
  <c r="F55" i="3"/>
  <c r="E50" i="3"/>
  <c r="H54" i="3"/>
  <c r="K57" i="3"/>
  <c r="W14" i="3"/>
  <c r="F51" i="3"/>
  <c r="W3" i="3"/>
  <c r="D56" i="3"/>
  <c r="J38" i="3"/>
  <c r="I49" i="3"/>
  <c r="I38" i="3"/>
  <c r="W2" i="3"/>
  <c r="H58" i="3"/>
  <c r="AE2" i="3"/>
  <c r="G58" i="3"/>
  <c r="F54" i="3"/>
  <c r="F40" i="3"/>
  <c r="K46" i="3"/>
  <c r="J58" i="3"/>
  <c r="K38" i="3"/>
  <c r="K52" i="3"/>
  <c r="Y2" i="3"/>
  <c r="K53" i="3"/>
  <c r="E54" i="3"/>
  <c r="L41" i="3"/>
  <c r="I58" i="3"/>
  <c r="E43" i="3"/>
  <c r="F44" i="3"/>
  <c r="D49" i="3"/>
  <c r="H37" i="3"/>
  <c r="L52" i="3"/>
  <c r="E56" i="3"/>
  <c r="H51" i="3"/>
  <c r="L44" i="3"/>
  <c r="I43" i="3"/>
  <c r="G36" i="3"/>
  <c r="L51" i="3"/>
  <c r="I50" i="3"/>
  <c r="G47" i="3"/>
  <c r="D47" i="3"/>
  <c r="J47" i="3"/>
  <c r="J53" i="3"/>
  <c r="H44" i="3"/>
  <c r="I41" i="3"/>
  <c r="I42" i="3"/>
  <c r="AB2" i="3"/>
  <c r="E57" i="3"/>
  <c r="E51" i="3"/>
  <c r="G43" i="3"/>
  <c r="D41" i="3"/>
  <c r="J51" i="3"/>
  <c r="J57" i="3"/>
  <c r="D53" i="3"/>
  <c r="D44" i="3"/>
  <c r="D43" i="3"/>
  <c r="F58" i="3"/>
  <c r="D37" i="3"/>
  <c r="L37" i="3"/>
  <c r="L46" i="3"/>
  <c r="E37" i="3"/>
  <c r="K42" i="3"/>
  <c r="F47" i="3"/>
  <c r="H53" i="3"/>
  <c r="I48" i="3"/>
  <c r="W18" i="3"/>
  <c r="E38" i="3"/>
  <c r="H36" i="3"/>
  <c r="F41" i="3"/>
  <c r="J55" i="3"/>
  <c r="F49" i="3"/>
  <c r="L43" i="3"/>
  <c r="G51" i="3"/>
  <c r="D38" i="3"/>
  <c r="J41" i="3"/>
  <c r="M6" i="3" l="1"/>
  <c r="H74" i="1"/>
  <c r="M4" i="3" s="1"/>
  <c r="I51" i="1"/>
  <c r="G2" i="3" s="1"/>
  <c r="I72" i="1"/>
  <c r="I70" i="1"/>
  <c r="I61" i="1"/>
  <c r="G6" i="3" s="1"/>
  <c r="G66" i="3" s="1"/>
  <c r="I71" i="1"/>
  <c r="L71" i="1" s="1"/>
  <c r="J10" i="3" s="1"/>
  <c r="I58" i="1"/>
  <c r="L58" i="1" s="1"/>
  <c r="J4" i="3" s="1"/>
  <c r="I69" i="1"/>
  <c r="L69" i="1" s="1"/>
  <c r="J9" i="3" s="1"/>
  <c r="I57" i="1"/>
  <c r="M57" i="1" s="1"/>
  <c r="I53" i="1"/>
  <c r="K53" i="1" s="1"/>
  <c r="I64" i="1"/>
  <c r="L64" i="1" s="1"/>
  <c r="J7" i="3" s="1"/>
  <c r="I63" i="1"/>
  <c r="I62" i="1"/>
  <c r="I60" i="1"/>
  <c r="L60" i="1" s="1"/>
  <c r="J5" i="3" s="1"/>
  <c r="I59" i="1"/>
  <c r="I68" i="1"/>
  <c r="I56" i="1"/>
  <c r="L56" i="1" s="1"/>
  <c r="G74" i="1"/>
  <c r="M3" i="3" s="1"/>
  <c r="I52" i="1"/>
  <c r="M52" i="1" s="1"/>
  <c r="L66" i="1"/>
  <c r="M66" i="1"/>
  <c r="K66" i="1"/>
  <c r="M64" i="1"/>
  <c r="K7" i="3" s="1"/>
  <c r="L62" i="1"/>
  <c r="M62" i="1"/>
  <c r="K62" i="1"/>
  <c r="N62" i="1" s="1"/>
  <c r="M63" i="1"/>
  <c r="L63" i="1"/>
  <c r="K63" i="1"/>
  <c r="L51" i="1"/>
  <c r="K51" i="1"/>
  <c r="L61" i="1"/>
  <c r="J6" i="3" s="1"/>
  <c r="J66" i="3" s="1"/>
  <c r="M61" i="1"/>
  <c r="K6" i="3" s="1"/>
  <c r="K66" i="3" s="1"/>
  <c r="K68" i="3" s="1"/>
  <c r="K22" i="3" s="1"/>
  <c r="K61" i="1"/>
  <c r="L72" i="1"/>
  <c r="M72" i="1"/>
  <c r="K72" i="1"/>
  <c r="N72" i="1" s="1"/>
  <c r="K60" i="1"/>
  <c r="L59" i="1"/>
  <c r="M59" i="1"/>
  <c r="K59" i="1"/>
  <c r="L70" i="1"/>
  <c r="M70" i="1"/>
  <c r="K70" i="1"/>
  <c r="N70" i="1" s="1"/>
  <c r="K69" i="1"/>
  <c r="L68" i="1"/>
  <c r="M68" i="1"/>
  <c r="K68" i="1"/>
  <c r="N68" i="1" s="1"/>
  <c r="L67" i="1"/>
  <c r="M67" i="1"/>
  <c r="K67" i="1"/>
  <c r="N67" i="1" s="1"/>
  <c r="L55" i="1"/>
  <c r="M55" i="1"/>
  <c r="K55" i="1"/>
  <c r="I54" i="1"/>
  <c r="G3" i="3" s="1"/>
  <c r="D10" i="3"/>
  <c r="I65" i="1"/>
  <c r="I73" i="1"/>
  <c r="F74" i="1"/>
  <c r="M2" i="3" s="1"/>
  <c r="K64" i="3"/>
  <c r="D64" i="3"/>
  <c r="I64" i="3"/>
  <c r="J64" i="3"/>
  <c r="H64" i="3"/>
  <c r="G64" i="3"/>
  <c r="E64" i="3"/>
  <c r="L64" i="3"/>
  <c r="F64" i="3"/>
  <c r="G8" i="3"/>
  <c r="F2" i="3"/>
  <c r="F12" i="3"/>
  <c r="U20" i="3"/>
  <c r="T20" i="3"/>
  <c r="U19" i="3"/>
  <c r="T19" i="3"/>
  <c r="U18" i="3"/>
  <c r="T18" i="3"/>
  <c r="U17" i="3"/>
  <c r="T17" i="3"/>
  <c r="U16" i="3"/>
  <c r="T16" i="3"/>
  <c r="U15" i="3"/>
  <c r="T15" i="3"/>
  <c r="U14" i="3"/>
  <c r="T14" i="3"/>
  <c r="U13" i="3"/>
  <c r="T13" i="3"/>
  <c r="U12" i="3"/>
  <c r="T12" i="3"/>
  <c r="E63" i="3"/>
  <c r="E66" i="3"/>
  <c r="F63" i="3"/>
  <c r="F66" i="3"/>
  <c r="G63" i="3"/>
  <c r="H63" i="3"/>
  <c r="H66" i="3"/>
  <c r="I63" i="3"/>
  <c r="J63" i="3"/>
  <c r="K63" i="3"/>
  <c r="L63" i="3"/>
  <c r="D63" i="3"/>
  <c r="D66" i="3"/>
  <c r="G9" i="3"/>
  <c r="G10" i="3"/>
  <c r="H2" i="3"/>
  <c r="H12" i="3"/>
  <c r="E2" i="3"/>
  <c r="E12" i="3"/>
  <c r="D2" i="3"/>
  <c r="D12" i="3"/>
  <c r="E28" i="3"/>
  <c r="E24" i="3"/>
  <c r="E26" i="3" s="1"/>
  <c r="F28" i="3"/>
  <c r="F24" i="3"/>
  <c r="F26" i="3" s="1"/>
  <c r="G28" i="3"/>
  <c r="G24" i="3"/>
  <c r="G26" i="3" s="1"/>
  <c r="H24" i="3"/>
  <c r="H26" i="3" s="1"/>
  <c r="H28" i="3"/>
  <c r="I24" i="3"/>
  <c r="I26" i="3" s="1"/>
  <c r="I28" i="3"/>
  <c r="J28" i="3"/>
  <c r="J24" i="3"/>
  <c r="J26" i="3" s="1"/>
  <c r="K28" i="3"/>
  <c r="K24" i="3"/>
  <c r="K26" i="3" s="1"/>
  <c r="L28" i="3"/>
  <c r="L24" i="3"/>
  <c r="L26" i="3" s="1"/>
  <c r="D24" i="3"/>
  <c r="D26" i="3" s="1"/>
  <c r="D28" i="3"/>
  <c r="K57" i="1" l="1"/>
  <c r="L53" i="1"/>
  <c r="M53" i="1"/>
  <c r="L57" i="1"/>
  <c r="K71" i="1"/>
  <c r="G4" i="3"/>
  <c r="G13" i="3" s="1"/>
  <c r="G15" i="3" s="1"/>
  <c r="M69" i="1"/>
  <c r="K9" i="3" s="1"/>
  <c r="M71" i="1"/>
  <c r="K10" i="3" s="1"/>
  <c r="I74" i="1"/>
  <c r="M5" i="3" s="1"/>
  <c r="K52" i="1"/>
  <c r="N52" i="1" s="1"/>
  <c r="G5" i="3"/>
  <c r="N51" i="1"/>
  <c r="L52" i="1"/>
  <c r="K56" i="1"/>
  <c r="G12" i="3"/>
  <c r="G7" i="3"/>
  <c r="M56" i="1"/>
  <c r="M58" i="1"/>
  <c r="K4" i="3" s="1"/>
  <c r="M60" i="1"/>
  <c r="K5" i="3" s="1"/>
  <c r="N63" i="1"/>
  <c r="K64" i="1"/>
  <c r="N64" i="1" s="1"/>
  <c r="L7" i="3" s="1"/>
  <c r="N69" i="1"/>
  <c r="K58" i="1"/>
  <c r="N58" i="1" s="1"/>
  <c r="L4" i="3" s="1"/>
  <c r="L73" i="1"/>
  <c r="J11" i="3" s="1"/>
  <c r="M73" i="1"/>
  <c r="K11" i="3" s="1"/>
  <c r="K73" i="1"/>
  <c r="G11" i="3"/>
  <c r="L65" i="1"/>
  <c r="J8" i="3" s="1"/>
  <c r="M65" i="1"/>
  <c r="K8" i="3" s="1"/>
  <c r="K65" i="1"/>
  <c r="N65" i="1" s="1"/>
  <c r="L8" i="3" s="1"/>
  <c r="N53" i="1"/>
  <c r="N66" i="1"/>
  <c r="L54" i="1"/>
  <c r="J3" i="3" s="1"/>
  <c r="M54" i="1"/>
  <c r="K3" i="3" s="1"/>
  <c r="K54" i="1"/>
  <c r="N55" i="1"/>
  <c r="N57" i="1"/>
  <c r="N59" i="1"/>
  <c r="N61" i="1"/>
  <c r="L6" i="3" s="1"/>
  <c r="L66" i="3" s="1"/>
  <c r="L68" i="3" s="1"/>
  <c r="L22" i="3" s="1"/>
  <c r="J68" i="3"/>
  <c r="J22" i="3" s="1"/>
  <c r="H68" i="3"/>
  <c r="H22" i="3" s="1"/>
  <c r="G68" i="3"/>
  <c r="G22" i="3" s="1"/>
  <c r="F68" i="3"/>
  <c r="F22" i="3" s="1"/>
  <c r="E68" i="3"/>
  <c r="E22" i="3" s="1"/>
  <c r="D68" i="3"/>
  <c r="D22" i="3" s="1"/>
  <c r="I6" i="3"/>
  <c r="I66" i="3" s="1"/>
  <c r="I68" i="3" s="1"/>
  <c r="I22" i="3" s="1"/>
  <c r="I5" i="3"/>
  <c r="F13" i="3"/>
  <c r="F15" i="3" s="1"/>
  <c r="I2" i="3"/>
  <c r="D30" i="3"/>
  <c r="K30" i="3"/>
  <c r="E30" i="3"/>
  <c r="L30" i="3"/>
  <c r="H30" i="3"/>
  <c r="F30" i="3"/>
  <c r="G30" i="3"/>
  <c r="I30" i="3"/>
  <c r="J30" i="3"/>
  <c r="M22" i="3"/>
  <c r="I9" i="3"/>
  <c r="L9" i="3"/>
  <c r="H13" i="3"/>
  <c r="H15" i="3" s="1"/>
  <c r="E13" i="3"/>
  <c r="E15" i="3" s="1"/>
  <c r="D13" i="3"/>
  <c r="D15" i="3" s="1"/>
  <c r="M28" i="3"/>
  <c r="M30" i="3" s="1"/>
  <c r="K2" i="3" l="1"/>
  <c r="I4" i="3"/>
  <c r="N71" i="1"/>
  <c r="L10" i="3" s="1"/>
  <c r="K12" i="3"/>
  <c r="K13" i="3" s="1"/>
  <c r="K15" i="3" s="1"/>
  <c r="K16" i="3" s="1"/>
  <c r="K31" i="3" s="1"/>
  <c r="I7" i="3"/>
  <c r="N60" i="1"/>
  <c r="L5" i="3" s="1"/>
  <c r="N54" i="1"/>
  <c r="L3" i="3" s="1"/>
  <c r="M74" i="1"/>
  <c r="N56" i="1"/>
  <c r="N74" i="1" s="1"/>
  <c r="I10" i="3"/>
  <c r="J12" i="3"/>
  <c r="I12" i="3"/>
  <c r="N73" i="1"/>
  <c r="L11" i="3" s="1"/>
  <c r="I11" i="3"/>
  <c r="I8" i="3"/>
  <c r="L74" i="1"/>
  <c r="M8" i="3" s="1"/>
  <c r="I3" i="3"/>
  <c r="I13" i="3" s="1"/>
  <c r="I15" i="3" s="1"/>
  <c r="I16" i="3" s="1"/>
  <c r="I31" i="3" s="1"/>
  <c r="K74" i="1"/>
  <c r="G16" i="3"/>
  <c r="G31" i="3" s="1"/>
  <c r="H16" i="3"/>
  <c r="H31" i="3" s="1"/>
  <c r="E16" i="3"/>
  <c r="E31" i="3" s="1"/>
  <c r="F16" i="3"/>
  <c r="F31" i="3" s="1"/>
  <c r="J2" i="3"/>
  <c r="J13" i="3" s="1"/>
  <c r="J15" i="3" s="1"/>
  <c r="J16" i="3" s="1"/>
  <c r="J31" i="3" s="1"/>
  <c r="D16" i="3"/>
  <c r="D31" i="3" s="1"/>
  <c r="B16" i="3"/>
  <c r="L12" i="3" l="1"/>
  <c r="L2" i="3"/>
  <c r="L13" i="3" s="1"/>
  <c r="L15" i="3" s="1"/>
  <c r="L16" i="3" s="1"/>
  <c r="L31" i="3" s="1"/>
  <c r="M10" i="3"/>
  <c r="M7" i="3"/>
  <c r="M9" i="3"/>
  <c r="M12" i="3"/>
  <c r="M15" i="3" s="1"/>
  <c r="M16" i="3" s="1"/>
  <c r="M31" i="3" s="1"/>
  <c r="D33" i="3" s="1"/>
  <c r="M13" i="3" l="1"/>
</calcChain>
</file>

<file path=xl/sharedStrings.xml><?xml version="1.0" encoding="utf-8"?>
<sst xmlns="http://schemas.openxmlformats.org/spreadsheetml/2006/main" count="210" uniqueCount="129">
  <si>
    <t>DAFTAR GAJI PEGAWAI TIDAK TETAP (PER-BULAN)</t>
  </si>
  <si>
    <t>PADA BADAN KERJA INTERNASIONAL</t>
  </si>
  <si>
    <t>NO</t>
  </si>
  <si>
    <t>PENDIDIKAN</t>
  </si>
  <si>
    <t>NAMA PEGAWAI</t>
  </si>
  <si>
    <t>SANKSI</t>
  </si>
  <si>
    <t>PAJAK</t>
  </si>
  <si>
    <t>DIS</t>
  </si>
  <si>
    <t>JAM</t>
  </si>
  <si>
    <t>POKOK</t>
  </si>
  <si>
    <t>TUNJANGAN</t>
  </si>
  <si>
    <t>SMA</t>
  </si>
  <si>
    <t>R</t>
  </si>
  <si>
    <t>T4</t>
  </si>
  <si>
    <t>N</t>
  </si>
  <si>
    <t>Gina Anggraini Halim</t>
  </si>
  <si>
    <t>T1</t>
  </si>
  <si>
    <t>Hartono Fajar Tono</t>
  </si>
  <si>
    <t>Kaludin amat</t>
  </si>
  <si>
    <t>T5</t>
  </si>
  <si>
    <t>Kiki Permata Eka</t>
  </si>
  <si>
    <t>Ramadhan Syahputra</t>
  </si>
  <si>
    <t>Santoso Fauzan Eka</t>
  </si>
  <si>
    <t>T3</t>
  </si>
  <si>
    <t>D-III</t>
  </si>
  <si>
    <t>T2</t>
  </si>
  <si>
    <t>B</t>
  </si>
  <si>
    <t>Citra Hadi</t>
  </si>
  <si>
    <t>Gina Utami Andi</t>
  </si>
  <si>
    <t>S</t>
  </si>
  <si>
    <t>S-1</t>
  </si>
  <si>
    <t>Agung Perkasa</t>
  </si>
  <si>
    <t>Kiki Fajar Eka</t>
  </si>
  <si>
    <t>Mira Hartono</t>
  </si>
  <si>
    <t>Rahmawati Pratama Oka</t>
  </si>
  <si>
    <t>Rian Anggraini Ramadhan</t>
  </si>
  <si>
    <t>Sawidi Aisah</t>
  </si>
  <si>
    <t>Umi Kiki</t>
  </si>
  <si>
    <t>Wibowo Rian Hartono</t>
  </si>
  <si>
    <t>S-2</t>
  </si>
  <si>
    <t>Fajar Lina Syahputra</t>
  </si>
  <si>
    <t>Lina Syahputra Joko</t>
  </si>
  <si>
    <t>Oka Halim Syahputra</t>
  </si>
  <si>
    <t>Oka Putri</t>
  </si>
  <si>
    <t>Putri Tono</t>
  </si>
  <si>
    <t>Saputra Anggraini</t>
  </si>
  <si>
    <t>Sari Indra Permata</t>
  </si>
  <si>
    <t>TABEL GAJI (Rp.)</t>
  </si>
  <si>
    <t>KET</t>
  </si>
  <si>
    <t>DISIPLIN</t>
  </si>
  <si>
    <t>POTONGAN</t>
  </si>
  <si>
    <t>MENIT</t>
  </si>
  <si>
    <t>POT</t>
  </si>
  <si>
    <t>0'</t>
  </si>
  <si>
    <t>1' - 60'</t>
  </si>
  <si>
    <t>61' - 120'</t>
  </si>
  <si>
    <t>121' - 240'</t>
  </si>
  <si>
    <t>241' Keatas</t>
  </si>
  <si>
    <t>T. POTONGAN HUKUMAN</t>
  </si>
  <si>
    <t>T. POTONGAN WAKTU KERJA</t>
  </si>
  <si>
    <t>TABEL PAJAK</t>
  </si>
  <si>
    <t>DEF</t>
  </si>
  <si>
    <t>V</t>
  </si>
  <si>
    <t>Rand</t>
  </si>
  <si>
    <t>Cek Manual</t>
  </si>
  <si>
    <t>Cek Fungsi</t>
  </si>
  <si>
    <t>Boolean</t>
  </si>
  <si>
    <t>cek rumus</t>
  </si>
  <si>
    <t>Hasil</t>
  </si>
  <si>
    <t>Gabung</t>
  </si>
  <si>
    <t>Array</t>
  </si>
  <si>
    <t>UANG MAKAN / HARI</t>
  </si>
  <si>
    <t>Berat</t>
  </si>
  <si>
    <t>Sedang</t>
  </si>
  <si>
    <t>Ringan</t>
  </si>
  <si>
    <t>Nihil</t>
  </si>
  <si>
    <t>XL-TEST adalah platform inovatif yang menyediakan latihan Excel interaktif dengan pemeriksaan otomatis,</t>
  </si>
  <si>
    <t>sehingga pengguna dapat langsung mengetahui jawaban yang benar maupun salah.</t>
  </si>
  <si>
    <t>Terdapat 5 Level soal :</t>
  </si>
  <si>
    <t xml:space="preserve">Easy Level  </t>
  </si>
  <si>
    <t>(⭐)</t>
  </si>
  <si>
    <t xml:space="preserve">Medium Level        </t>
  </si>
  <si>
    <t>(⭐⭐)</t>
  </si>
  <si>
    <t xml:space="preserve">Hard Level </t>
  </si>
  <si>
    <t>(⭐⭐⭐)</t>
  </si>
  <si>
    <t xml:space="preserve">Extreme Level </t>
  </si>
  <si>
    <t>(⭐⭐⭐⭐)</t>
  </si>
  <si>
    <t xml:space="preserve">Championship Level </t>
  </si>
  <si>
    <t>(⭐⭐⭐⭐⭐)</t>
  </si>
  <si>
    <t>Free Access</t>
  </si>
  <si>
    <t>https://belajarexcel.id/xl-test/</t>
  </si>
  <si>
    <t>Intruksi</t>
  </si>
  <si>
    <t>Soal  :</t>
  </si>
  <si>
    <r>
      <rPr>
        <b/>
        <i/>
        <sz val="11"/>
        <color rgb="FF0070C0"/>
        <rFont val="Aptos Narrow"/>
        <family val="2"/>
        <scheme val="minor"/>
      </rPr>
      <t>Sudah selesai mengerjakan?</t>
    </r>
    <r>
      <rPr>
        <i/>
        <sz val="11"/>
        <color rgb="FF0070C0"/>
        <rFont val="Aptos Narrow"/>
        <family val="2"/>
        <scheme val="minor"/>
      </rPr>
      <t xml:space="preserve"> kirim </t>
    </r>
    <r>
      <rPr>
        <b/>
        <i/>
        <sz val="11"/>
        <color rgb="FF0070C0"/>
        <rFont val="Aptos Narrow"/>
        <family val="2"/>
        <scheme val="minor"/>
      </rPr>
      <t>Kode Soal</t>
    </r>
    <r>
      <rPr>
        <i/>
        <sz val="11"/>
        <color rgb="FF0070C0"/>
        <rFont val="Aptos Narrow"/>
        <family val="2"/>
        <scheme val="minor"/>
      </rPr>
      <t xml:space="preserve"> dan </t>
    </r>
    <r>
      <rPr>
        <b/>
        <i/>
        <sz val="11"/>
        <color rgb="FF0070C0"/>
        <rFont val="Aptos Narrow"/>
        <family val="2"/>
        <scheme val="minor"/>
      </rPr>
      <t>Kode Jawaban</t>
    </r>
    <r>
      <rPr>
        <i/>
        <sz val="11"/>
        <color rgb="FF0070C0"/>
        <rFont val="Aptos Narrow"/>
        <family val="2"/>
        <scheme val="minor"/>
      </rPr>
      <t xml:space="preserve"> diatas ke alamat :  </t>
    </r>
    <r>
      <rPr>
        <b/>
        <i/>
        <sz val="11"/>
        <color rgb="FF0070C0"/>
        <rFont val="Aptos Narrow"/>
        <family val="2"/>
        <scheme val="minor"/>
      </rPr>
      <t>https://belajarexcel.id/xl-test/jawaban</t>
    </r>
    <r>
      <rPr>
        <i/>
        <sz val="11"/>
        <color rgb="FF0070C0"/>
        <rFont val="Aptos Narrow"/>
        <family val="2"/>
        <scheme val="minor"/>
      </rPr>
      <t xml:space="preserve">  untuk mengecek hasilnya</t>
    </r>
  </si>
  <si>
    <t>atau klik tombol disamping</t>
  </si>
  <si>
    <t>UANG MAKAN</t>
  </si>
  <si>
    <r>
      <t>GAJI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</si>
  <si>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r>
      <t>TOTAL GAJI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 xml:space="preserve">) </t>
    </r>
  </si>
  <si>
    <r>
      <t>PAJAK (</t>
    </r>
    <r>
      <rPr>
        <b/>
        <sz val="11"/>
        <color theme="0"/>
        <rFont val="Aptos Narrow"/>
        <family val="2"/>
        <scheme val="minor"/>
      </rPr>
      <t>%</t>
    </r>
    <r>
      <rPr>
        <b/>
        <sz val="11"/>
        <color theme="1"/>
        <rFont val="Aptos Narrow"/>
        <family val="2"/>
        <scheme val="minor"/>
      </rPr>
      <t>)</t>
    </r>
  </si>
  <si>
    <r>
      <t>GAJI SETELAH PAJAK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</si>
  <si>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r>
      <t>POT. DISIPLIN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</si>
  <si>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r>
      <t>POT. WAKTU KERJA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</si>
  <si>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r>
      <t>GAJI BERSIH (</t>
    </r>
    <r>
      <rPr>
        <b/>
        <sz val="11"/>
        <color theme="0"/>
        <rFont val="Aptos Narrow"/>
        <family val="2"/>
        <scheme val="minor"/>
      </rPr>
      <t>Rp.</t>
    </r>
    <r>
      <rPr>
        <b/>
        <sz val="11"/>
        <color theme="1"/>
        <rFont val="Aptos Narrow"/>
        <family val="2"/>
        <scheme val="minor"/>
      </rPr>
      <t>)</t>
    </r>
  </si>
  <si>
    <t>TOTAL</t>
  </si>
  <si>
    <r>
      <t xml:space="preserve">Isi kolom </t>
    </r>
    <r>
      <rPr>
        <b/>
        <sz val="11"/>
        <color theme="1"/>
        <rFont val="Aptos Narrow"/>
        <family val="2"/>
        <scheme val="minor"/>
      </rPr>
      <t>Pokok</t>
    </r>
    <r>
      <rPr>
        <sz val="11"/>
        <color theme="1"/>
        <rFont val="Aptos Narrow"/>
        <family val="2"/>
        <scheme val="minor"/>
      </rPr>
      <t xml:space="preserve"> berdasarkan pendidikan dari </t>
    </r>
    <r>
      <rPr>
        <b/>
        <sz val="11"/>
        <color theme="1"/>
        <rFont val="Aptos Narrow"/>
        <family val="2"/>
        <scheme val="minor"/>
      </rPr>
      <t>Tabel Gaji (Rp)</t>
    </r>
    <r>
      <rPr>
        <sz val="11"/>
        <color theme="1"/>
        <rFont val="Aptos Narrow"/>
        <family val="2"/>
        <scheme val="minor"/>
      </rPr>
      <t xml:space="preserve"> yang ada pada Sheet </t>
    </r>
    <r>
      <rPr>
        <b/>
        <sz val="11"/>
        <color theme="1"/>
        <rFont val="Aptos Narrow"/>
        <family val="2"/>
        <scheme val="minor"/>
      </rPr>
      <t>Data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</si>
  <si>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Tunjangan</t>
    </r>
    <r>
      <rPr>
        <sz val="11"/>
        <color theme="1"/>
        <rFont val="Aptos Narrow"/>
        <family val="2"/>
        <scheme val="minor"/>
      </rPr>
      <t xml:space="preserve"> berdasarkan pendidikan dari </t>
    </r>
    <r>
      <rPr>
        <b/>
        <sz val="11"/>
        <color theme="1"/>
        <rFont val="Aptos Narrow"/>
        <family val="2"/>
        <scheme val="minor"/>
      </rPr>
      <t>Tabel Gaji (Rp)</t>
    </r>
    <r>
      <rPr>
        <sz val="11"/>
        <color theme="1"/>
        <rFont val="Aptos Narrow"/>
        <family val="2"/>
        <scheme val="minor"/>
      </rPr>
      <t xml:space="preserve"> yang ada pada Sheet </t>
    </r>
    <r>
      <rPr>
        <b/>
        <sz val="11"/>
        <color theme="1"/>
        <rFont val="Aptos Narrow"/>
        <family val="2"/>
        <scheme val="minor"/>
      </rPr>
      <t>Data</t>
    </r>
  </si>
  <si>
    <t>Contoh</t>
  </si>
  <si>
    <t>Andi Setiadi</t>
  </si>
  <si>
    <r>
      <t xml:space="preserve">Isi kolom </t>
    </r>
    <r>
      <rPr>
        <b/>
        <sz val="11"/>
        <color theme="1"/>
        <rFont val="Aptos Narrow"/>
        <family val="2"/>
        <scheme val="minor"/>
      </rPr>
      <t>Uang Makan</t>
    </r>
    <r>
      <rPr>
        <sz val="11"/>
        <color theme="1"/>
        <rFont val="Aptos Narrow"/>
        <family val="2"/>
        <scheme val="minor"/>
      </rPr>
      <t xml:space="preserve"> berdasarkan pendidikan dari T</t>
    </r>
    <r>
      <rPr>
        <b/>
        <sz val="11"/>
        <color theme="1"/>
        <rFont val="Aptos Narrow"/>
        <family val="2"/>
        <scheme val="minor"/>
      </rPr>
      <t>abel Gaji (Rp)</t>
    </r>
    <r>
      <rPr>
        <sz val="11"/>
        <color theme="1"/>
        <rFont val="Aptos Narrow"/>
        <family val="2"/>
        <scheme val="minor"/>
      </rPr>
      <t xml:space="preserve"> yang ada pada Sheet Data. (Dalam 1 Bulan dihitung </t>
    </r>
    <r>
      <rPr>
        <b/>
        <sz val="11"/>
        <color theme="1"/>
        <rFont val="Aptos Narrow"/>
        <family val="2"/>
        <scheme val="minor"/>
      </rPr>
      <t>25 hari kerja</t>
    </r>
    <r>
      <rPr>
        <sz val="11"/>
        <color theme="1"/>
        <rFont val="Aptos Narrow"/>
        <family val="2"/>
        <scheme val="minor"/>
      </rPr>
      <t>)</t>
    </r>
  </si>
  <si>
    <r>
      <t xml:space="preserve">Kolom </t>
    </r>
    <r>
      <rPr>
        <b/>
        <sz val="11"/>
        <color theme="1"/>
        <rFont val="Aptos Narrow"/>
        <family val="2"/>
        <scheme val="minor"/>
      </rPr>
      <t>Total Gaji</t>
    </r>
    <r>
      <rPr>
        <sz val="11"/>
        <color theme="1"/>
        <rFont val="Aptos Narrow"/>
        <family val="2"/>
        <scheme val="minor"/>
      </rPr>
      <t xml:space="preserve"> adalah jumlah dari gaji yang didapatkan dari penjumlahan </t>
    </r>
    <r>
      <rPr>
        <b/>
        <sz val="11"/>
        <color theme="1"/>
        <rFont val="Aptos Narrow"/>
        <family val="2"/>
        <scheme val="minor"/>
      </rPr>
      <t>Gaji pokok, Tunjangan</t>
    </r>
    <r>
      <rPr>
        <sz val="11"/>
        <color theme="1"/>
        <rFont val="Aptos Narrow"/>
        <family val="2"/>
        <scheme val="minor"/>
      </rPr>
      <t xml:space="preserve"> dan U</t>
    </r>
    <r>
      <rPr>
        <b/>
        <sz val="11"/>
        <color theme="1"/>
        <rFont val="Aptos Narrow"/>
        <family val="2"/>
        <scheme val="minor"/>
      </rPr>
      <t>ang Makan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</si>
  <si>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Pajak</t>
    </r>
    <r>
      <rPr>
        <sz val="11"/>
        <color theme="1"/>
        <rFont val="Aptos Narrow"/>
        <family val="2"/>
        <scheme val="minor"/>
      </rPr>
      <t xml:space="preserve"> dengan jumlah Nilai pajak berdasarkan Pendidikan yang didapatkan dari </t>
    </r>
    <r>
      <rPr>
        <b/>
        <sz val="11"/>
        <color theme="1"/>
        <rFont val="Aptos Narrow"/>
        <family val="2"/>
        <scheme val="minor"/>
      </rPr>
      <t>Table Pajak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</si>
  <si>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Gaji setelah pajak</t>
    </r>
    <r>
      <rPr>
        <sz val="11"/>
        <color theme="1"/>
        <rFont val="Aptos Narrow"/>
        <family val="2"/>
        <scheme val="minor"/>
      </rPr>
      <t xml:space="preserve"> yang didapatkan dari </t>
    </r>
    <r>
      <rPr>
        <b/>
        <sz val="11"/>
        <color theme="1"/>
        <rFont val="Aptos Narrow"/>
        <family val="2"/>
        <scheme val="minor"/>
      </rPr>
      <t>Total Gaji</t>
    </r>
    <r>
      <rPr>
        <sz val="11"/>
        <color theme="1"/>
        <rFont val="Aptos Narrow"/>
        <family val="2"/>
        <scheme val="minor"/>
      </rPr>
      <t xml:space="preserve"> dikurangi </t>
    </r>
    <r>
      <rPr>
        <b/>
        <sz val="11"/>
        <color theme="1"/>
        <rFont val="Aptos Narrow"/>
        <family val="2"/>
        <scheme val="minor"/>
      </rPr>
      <t>Pajak</t>
    </r>
  </si>
  <si>
    <t>Gunakan Fungsi Excel (Function) untuk menyelsaikan kasus dibawah ini, tidak disarankan menggunakan cara manual</t>
  </si>
  <si>
    <r>
      <t xml:space="preserve">Isi kolom </t>
    </r>
    <r>
      <rPr>
        <b/>
        <sz val="11"/>
        <color theme="1"/>
        <rFont val="Aptos Narrow"/>
        <family val="2"/>
        <scheme val="minor"/>
      </rPr>
      <t>Potongan Disiplin</t>
    </r>
    <r>
      <rPr>
        <sz val="11"/>
        <color theme="1"/>
        <rFont val="Aptos Narrow"/>
        <family val="2"/>
        <scheme val="minor"/>
      </rPr>
      <t xml:space="preserve"> sesuai dengan Sanksi Disiplin yang didapatkan berdasarkan Table Potongan Hukuman dari </t>
    </r>
    <r>
      <rPr>
        <b/>
        <sz val="11"/>
        <color theme="1"/>
        <rFont val="Aptos Narrow"/>
        <family val="2"/>
        <scheme val="minor"/>
      </rPr>
      <t>Total Gaji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</si>
  <si>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Potongan Waktu Kerja</t>
    </r>
    <r>
      <rPr>
        <sz val="11"/>
        <color theme="1"/>
        <rFont val="Aptos Narrow"/>
        <family val="2"/>
        <scheme val="minor"/>
      </rPr>
      <t xml:space="preserve"> sesuai dengan Sanksi Jam yang didapatkan berdasarkan Table Potongan Waktu Kerja dari </t>
    </r>
    <r>
      <rPr>
        <b/>
        <sz val="11"/>
        <color theme="1"/>
        <rFont val="Aptos Narrow"/>
        <family val="2"/>
        <scheme val="minor"/>
      </rPr>
      <t>Total Gaji</t>
    </r>
  </si>
  <si>
    <r>
      <t xml:space="preserve">Isi kolom </t>
    </r>
    <r>
      <rPr>
        <b/>
        <sz val="11"/>
        <color theme="1"/>
        <rFont val="Aptos Narrow"/>
        <family val="2"/>
        <scheme val="minor"/>
      </rPr>
      <t>Gaji Bersih</t>
    </r>
    <r>
      <rPr>
        <sz val="11"/>
        <color theme="1"/>
        <rFont val="Aptos Narrow"/>
        <family val="2"/>
        <scheme val="minor"/>
      </rPr>
      <t xml:space="preserve"> yang didapatkan dari Gaji setelah pajak dikurangi potongan-potongan</t>
    </r>
  </si>
  <si>
    <r>
      <rPr>
        <b/>
        <sz val="12"/>
        <color rgb="FF00B050"/>
        <rFont val="Aptos Narrow"/>
        <family val="2"/>
        <scheme val="minor"/>
      </rPr>
      <t>Easy Level</t>
    </r>
    <r>
      <rPr>
        <b/>
        <sz val="12"/>
        <color theme="1"/>
        <rFont val="Aptos Narrow"/>
        <family val="2"/>
        <scheme val="minor"/>
      </rPr>
      <t xml:space="preserve"> - Latihan Soal Excel Gaji dan Potongan</t>
    </r>
  </si>
  <si>
    <t>Perlu Video Penjelasan atau Kunci Jawaban ?</t>
  </si>
  <si>
    <t>Scan barcode atau kunjungi</t>
  </si>
  <si>
    <t>Jumlahkan Total semua kolom, kecuali kolom Pajak. Pajak isi dengan Rata-rata (Tidak termasuk Contoh)</t>
  </si>
  <si>
    <t>https://lynk.id/setiadi/page/jawaban-xl-test</t>
  </si>
  <si>
    <t>EK6</t>
  </si>
  <si>
    <t>Saya adalah seorang Excel Holic yang percaya bahwa setiap angka memiliki cerita yang bisa ditemukan dengan cara yang tepat.</t>
  </si>
  <si>
    <t>Contact :</t>
  </si>
  <si>
    <t>🌐 Web</t>
  </si>
  <si>
    <t>https://setiadi.me</t>
  </si>
  <si>
    <t>🪡threads</t>
  </si>
  <si>
    <t>https://www.threads.com/@andisetiadi</t>
  </si>
  <si>
    <t>“Excel bukan cuma soal kerjaan tapi juga hobi yang aku nikmati.”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</si>
</sst>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-;\-[$Rp-421]* #,##0_-;_-[$Rp-421]* &quot;-&quot;_-;_-@_-"/>
    <numFmt numFmtId="165" formatCode="#,##0;\(#,##0\);\-"/>
  </numFmts>
  <fonts count="3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Tahoma"/>
      <family val="2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i/>
      <sz val="11"/>
      <color rgb="FF0070C0"/>
      <name val="Aptos Narrow"/>
      <family val="2"/>
      <scheme val="minor"/>
    </font>
    <font>
      <b/>
      <i/>
      <sz val="11"/>
      <color rgb="FF0070C0"/>
      <name val="Aptos Narrow"/>
      <family val="2"/>
      <scheme val="minor"/>
    </font>
    <font>
      <sz val="10"/>
      <color theme="6" tint="-0.249977111117893"/>
      <name val="Aptos Narrow"/>
      <family val="2"/>
      <scheme val="minor"/>
    </font>
    <font>
      <sz val="9"/>
      <color theme="6" tint="-0.249977111117893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0"/>
      <name val="ROBOTECH GP"/>
      <family val="2"/>
    </font>
    <font>
      <b/>
      <sz val="10"/>
      <color rgb="FF00B050"/>
      <name val="Aptos Narrow"/>
      <family val="2"/>
      <scheme val="minor"/>
    </font>
    <font>
      <b/>
      <sz val="10"/>
      <color rgb="FF0070C0"/>
      <name val="Aptos Narrow"/>
      <family val="2"/>
      <scheme val="minor"/>
    </font>
    <font>
      <b/>
      <sz val="12"/>
      <color theme="0"/>
      <name val="Roboto"/>
    </font>
    <font>
      <i/>
      <sz val="11"/>
      <color theme="0" tint="-0.34998626667073579"/>
      <name val="Aptos Narrow"/>
      <family val="2"/>
      <scheme val="minor"/>
    </font>
    <font>
      <b/>
      <sz val="12"/>
      <color rgb="FF00B050"/>
      <name val="Aptos Narrow"/>
      <family val="2"/>
      <scheme val="minor"/>
    </font>
    <font>
      <b/>
      <sz val="11"/>
      <color theme="0"/>
      <name val="ROBOTECH GP"/>
      <family val="2"/>
    </font>
    <font>
      <sz val="10"/>
      <color theme="0"/>
      <name val="Aptos Narrow"/>
      <family val="2"/>
      <scheme val="minor"/>
    </font>
    <font>
      <u/>
      <sz val="11"/>
      <color theme="0"/>
      <name val="Aptos Narrow"/>
      <family val="2"/>
      <scheme val="minor"/>
    </font>
    <font>
      <sz val="10"/>
      <color rgb="FF3D3D4E"/>
      <name val="Arial"/>
      <family val="2"/>
    </font>
    <font>
      <b/>
      <sz val="10"/>
      <color rgb="FF1D1F45"/>
      <name val="Arial"/>
      <family val="2"/>
    </font>
    <font>
      <sz val="10"/>
      <color rgb="FF1D1F45"/>
      <name val="Arial"/>
      <family val="2"/>
    </font>
    <font>
      <sz val="11"/>
      <color theme="4" tint="0.39997558519241921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gradientFill>
        <stop position="0">
          <color rgb="FF0A9085"/>
        </stop>
        <stop position="1">
          <color rgb="FF020024"/>
        </stop>
      </gradientFill>
    </fill>
    <fill>
      <patternFill patternType="solid">
        <fgColor rgb="FF0A90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4999237037263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B050"/>
      </left>
      <right style="medium">
        <color rgb="FF00B050"/>
      </right>
      <top style="medium">
        <color rgb="FF00B050"/>
      </top>
      <bottom style="medium">
        <color rgb="FF00B05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medium">
        <color rgb="FF0070C0"/>
      </right>
      <top/>
      <bottom/>
      <diagonal/>
    </border>
    <border>
      <left style="medium">
        <color rgb="FF0070C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</borders>
  <cellStyleXfs count="4">
    <xf numFmtId="0" fontId="0" fillId="0" borderId="0"/>
    <xf numFmtId="0" fontId="11" fillId="0" borderId="0" applyNumberFormat="0" applyFill="0" applyBorder="0" applyAlignment="0" applyProtection="0"/>
    <xf numFmtId="0" fontId="1" fillId="0" borderId="0"/>
    <xf numFmtId="0" fontId="11" fillId="0" borderId="0" applyNumberForma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0" fillId="0" borderId="0" xfId="0" applyAlignment="1">
      <alignment vertical="center"/>
    </xf>
    <xf numFmtId="9" fontId="9" fillId="0" borderId="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9" fillId="0" borderId="1" xfId="0" applyNumberFormat="1" applyFont="1" applyBorder="1" applyAlignment="1">
      <alignment horizontal="center"/>
    </xf>
    <xf numFmtId="9" fontId="9" fillId="0" borderId="1" xfId="0" applyNumberFormat="1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/>
    </xf>
    <xf numFmtId="0" fontId="0" fillId="5" borderId="0" xfId="0" applyFill="1"/>
    <xf numFmtId="0" fontId="2" fillId="0" borderId="0" xfId="0" applyFont="1"/>
    <xf numFmtId="0" fontId="11" fillId="0" borderId="0" xfId="1"/>
    <xf numFmtId="0" fontId="12" fillId="0" borderId="0" xfId="0" applyFont="1"/>
    <xf numFmtId="0" fontId="6" fillId="3" borderId="6" xfId="0" applyFont="1" applyFill="1" applyBorder="1" applyAlignment="1">
      <alignment horizontal="left" indent="1"/>
    </xf>
    <xf numFmtId="164" fontId="6" fillId="4" borderId="6" xfId="0" applyNumberFormat="1" applyFont="1" applyFill="1" applyBorder="1" applyAlignment="1">
      <alignment horizontal="right" vertical="center" wrapText="1" indent="1"/>
    </xf>
    <xf numFmtId="164" fontId="7" fillId="4" borderId="6" xfId="0" quotePrefix="1" applyNumberFormat="1" applyFont="1" applyFill="1" applyBorder="1" applyAlignment="1">
      <alignment horizontal="right" vertical="center" wrapText="1" indent="1"/>
    </xf>
    <xf numFmtId="164" fontId="6" fillId="6" borderId="6" xfId="0" applyNumberFormat="1" applyFont="1" applyFill="1" applyBorder="1" applyAlignment="1">
      <alignment horizontal="right" vertical="center" wrapText="1" indent="1"/>
    </xf>
    <xf numFmtId="9" fontId="6" fillId="6" borderId="6" xfId="0" applyNumberFormat="1" applyFont="1" applyFill="1" applyBorder="1" applyAlignment="1">
      <alignment horizontal="right" vertical="center" wrapText="1" indent="1"/>
    </xf>
    <xf numFmtId="0" fontId="1" fillId="0" borderId="6" xfId="2" applyBorder="1"/>
    <xf numFmtId="0" fontId="1" fillId="0" borderId="0" xfId="2"/>
    <xf numFmtId="0" fontId="16" fillId="0" borderId="6" xfId="2" applyFont="1" applyBorder="1" applyAlignment="1">
      <alignment horizontal="left"/>
    </xf>
    <xf numFmtId="0" fontId="17" fillId="0" borderId="6" xfId="2" applyFont="1" applyBorder="1" applyAlignment="1">
      <alignment horizontal="left"/>
    </xf>
    <xf numFmtId="0" fontId="17" fillId="0" borderId="6" xfId="2" applyFont="1" applyBorder="1"/>
    <xf numFmtId="0" fontId="9" fillId="10" borderId="9" xfId="0" applyFont="1" applyFill="1" applyBorder="1" applyAlignment="1">
      <alignment vertical="top" wrapText="1"/>
    </xf>
    <xf numFmtId="0" fontId="9" fillId="10" borderId="10" xfId="0" applyFont="1" applyFill="1" applyBorder="1" applyAlignment="1">
      <alignment vertical="top" wrapText="1"/>
    </xf>
    <xf numFmtId="0" fontId="9" fillId="10" borderId="0" xfId="0" applyFont="1" applyFill="1" applyAlignment="1">
      <alignment vertical="top" wrapText="1"/>
    </xf>
    <xf numFmtId="0" fontId="4" fillId="10" borderId="0" xfId="0" applyFont="1" applyFill="1" applyAlignment="1">
      <alignment vertical="top"/>
    </xf>
    <xf numFmtId="0" fontId="9" fillId="10" borderId="11" xfId="0" applyFont="1" applyFill="1" applyBorder="1" applyAlignment="1">
      <alignment vertical="top" wrapText="1"/>
    </xf>
    <xf numFmtId="0" fontId="0" fillId="10" borderId="0" xfId="0" applyFill="1"/>
    <xf numFmtId="0" fontId="13" fillId="10" borderId="0" xfId="0" applyFont="1" applyFill="1"/>
    <xf numFmtId="0" fontId="0" fillId="10" borderId="12" xfId="0" applyFill="1" applyBorder="1"/>
    <xf numFmtId="0" fontId="9" fillId="10" borderId="12" xfId="0" applyFont="1" applyFill="1" applyBorder="1" applyAlignment="1">
      <alignment vertical="top" wrapText="1"/>
    </xf>
    <xf numFmtId="0" fontId="9" fillId="10" borderId="13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21" fillId="10" borderId="0" xfId="0" applyFont="1" applyFill="1" applyAlignment="1">
      <alignment horizontal="right"/>
    </xf>
    <xf numFmtId="0" fontId="22" fillId="10" borderId="0" xfId="0" applyFont="1" applyFill="1"/>
    <xf numFmtId="165" fontId="23" fillId="9" borderId="14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0" fillId="3" borderId="6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5" fillId="0" borderId="0" xfId="0" applyFont="1"/>
    <xf numFmtId="9" fontId="6" fillId="4" borderId="6" xfId="0" applyNumberFormat="1" applyFont="1" applyFill="1" applyBorder="1" applyAlignment="1">
      <alignment horizontal="center" vertical="center" wrapText="1"/>
    </xf>
    <xf numFmtId="0" fontId="0" fillId="11" borderId="0" xfId="0" applyFill="1"/>
    <xf numFmtId="0" fontId="24" fillId="10" borderId="0" xfId="0" applyFont="1" applyFill="1"/>
    <xf numFmtId="0" fontId="0" fillId="9" borderId="0" xfId="0" applyFill="1"/>
    <xf numFmtId="0" fontId="22" fillId="9" borderId="0" xfId="0" applyFont="1" applyFill="1"/>
    <xf numFmtId="0" fontId="19" fillId="9" borderId="0" xfId="0" applyFont="1" applyFill="1"/>
    <xf numFmtId="0" fontId="27" fillId="9" borderId="0" xfId="0" applyFont="1" applyFill="1"/>
    <xf numFmtId="0" fontId="2" fillId="7" borderId="7" xfId="0" applyFont="1" applyFill="1" applyBorder="1"/>
    <xf numFmtId="0" fontId="28" fillId="9" borderId="0" xfId="1" applyFont="1" applyFill="1"/>
    <xf numFmtId="0" fontId="1" fillId="0" borderId="16" xfId="2" applyBorder="1"/>
    <xf numFmtId="0" fontId="1" fillId="0" borderId="17" xfId="2" applyBorder="1"/>
    <xf numFmtId="0" fontId="29" fillId="0" borderId="16" xfId="0" applyFont="1" applyBorder="1" applyAlignment="1">
      <alignment horizontal="left" vertical="top" wrapText="1"/>
    </xf>
    <xf numFmtId="0" fontId="31" fillId="0" borderId="16" xfId="0" applyFont="1" applyBorder="1" applyAlignment="1">
      <alignment horizontal="left" vertical="top" wrapText="1"/>
    </xf>
    <xf numFmtId="0" fontId="11" fillId="0" borderId="6" xfId="3" applyBorder="1" applyAlignment="1">
      <alignment vertical="top"/>
    </xf>
    <xf numFmtId="0" fontId="2" fillId="0" borderId="0" xfId="2" applyFont="1"/>
    <xf numFmtId="0" fontId="32" fillId="0" borderId="0" xfId="2" applyFont="1"/>
    <xf numFmtId="0" fontId="32" fillId="0" borderId="0" xfId="2" quotePrefix="1" applyFont="1"/>
    <xf numFmtId="0" fontId="5" fillId="12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5" fillId="13" borderId="1" xfId="0" applyFont="1" applyFill="1" applyBorder="1" applyAlignment="1">
      <alignment horizontal="center" vertical="center"/>
    </xf>
    <xf numFmtId="0" fontId="5" fillId="13" borderId="4" xfId="0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/>
    </xf>
    <xf numFmtId="0" fontId="5" fillId="13" borderId="3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right" indent="2"/>
    </xf>
    <xf numFmtId="0" fontId="2" fillId="7" borderId="15" xfId="0" applyFont="1" applyFill="1" applyBorder="1" applyAlignment="1">
      <alignment horizontal="right" indent="2"/>
    </xf>
    <xf numFmtId="0" fontId="20" fillId="8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/>
    </xf>
    <xf numFmtId="0" fontId="5" fillId="12" borderId="5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/>
    </xf>
    <xf numFmtId="0" fontId="26" fillId="8" borderId="8" xfId="0" applyFont="1" applyFill="1" applyBorder="1" applyAlignment="1">
      <alignment horizontal="center" vertical="center"/>
    </xf>
    <xf numFmtId="0" fontId="26" fillId="8" borderId="0" xfId="0" applyFont="1" applyFill="1" applyAlignment="1">
      <alignment horizontal="center" vertical="center"/>
    </xf>
    <xf numFmtId="0" fontId="29" fillId="0" borderId="0" xfId="0" applyFont="1" applyAlignment="1">
      <alignment horizontal="left" vertical="top" wrapText="1"/>
    </xf>
    <xf numFmtId="0" fontId="29" fillId="0" borderId="18" xfId="0" applyFont="1" applyBorder="1" applyAlignment="1">
      <alignment horizontal="left" vertical="top" wrapText="1"/>
    </xf>
    <xf numFmtId="0" fontId="30" fillId="0" borderId="0" xfId="0" applyFont="1" applyAlignment="1">
      <alignment horizontal="left" vertical="top" wrapText="1"/>
    </xf>
    <xf numFmtId="0" fontId="30" fillId="0" borderId="18" xfId="0" applyFont="1" applyBorder="1" applyAlignment="1">
      <alignment horizontal="left" vertical="top" wrapText="1"/>
    </xf>
    <xf numFmtId="0" fontId="15" fillId="0" borderId="6" xfId="2" applyFont="1" applyBorder="1" applyAlignment="1">
      <alignment horizontal="left"/>
    </xf>
    <xf numFmtId="0" fontId="16" fillId="0" borderId="6" xfId="2" applyFont="1" applyBorder="1" applyAlignment="1">
      <alignment horizontal="left"/>
    </xf>
  </cellXfs>
  <cellStyles count="4">
    <cellStyle name="Hyperlink" xfId="1" builtinId="8"/>
    <cellStyle name="Hyperlink 2" xfId="3" xr:uid="{EA9BEE32-46C7-47E9-9837-8102B9E85F54}"/>
    <cellStyle name="Normal" xfId="0" builtinId="0"/>
    <cellStyle name="Normal 2" xfId="2" xr:uid="{80311534-94D7-4DEC-B870-2A0EF64CD60A}"/>
  </cellStyles>
  <dxfs count="8">
    <dxf>
      <numFmt numFmtId="166" formatCode=";;;&quot;Nihil&quot;"/>
    </dxf>
    <dxf>
      <numFmt numFmtId="167" formatCode=";;;&quot;Ringan&quot;"/>
    </dxf>
    <dxf>
      <numFmt numFmtId="168" formatCode=";;;&quot;Sedang&quot;"/>
    </dxf>
    <dxf>
      <numFmt numFmtId="169" formatCode=";;;&quot;Berat&quot;"/>
    </dxf>
    <dxf>
      <numFmt numFmtId="166" formatCode=";;;&quot;Nihil&quot;"/>
    </dxf>
    <dxf>
      <numFmt numFmtId="167" formatCode=";;;&quot;Ringan&quot;"/>
    </dxf>
    <dxf>
      <numFmt numFmtId="168" formatCode=";;;&quot;Sedang&quot;"/>
    </dxf>
    <dxf>
      <numFmt numFmtId="169" formatCode=";;;&quot;Berat&quot;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Relationship Id="rId4" Type="http://schemas.openxmlformats.org/officeDocument/2006/relationships/image" Target="../media/image3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3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9</xdr:col>
      <xdr:colOff>1135381</xdr:colOff>
      <xdr:row>14</xdr:row>
      <xdr:rowOff>154305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6F31A4-A8D4-4264-9662-2A48E7468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10858500" cy="2714625"/>
        </a:xfrm>
        <a:prstGeom prst="rect">
          <a:avLst/>
        </a:prstGeom>
      </xdr:spPr>
    </xdr:pic>
    <xdr:clientData/>
  </xdr:twoCellAnchor>
  <xdr:twoCellAnchor>
    <xdr:from>
      <xdr:col>2</xdr:col>
      <xdr:colOff>1584960</xdr:colOff>
      <xdr:row>35</xdr:row>
      <xdr:rowOff>91440</xdr:rowOff>
    </xdr:from>
    <xdr:to>
      <xdr:col>4</xdr:col>
      <xdr:colOff>388620</xdr:colOff>
      <xdr:row>37</xdr:row>
      <xdr:rowOff>45720</xdr:rowOff>
    </xdr:to>
    <xdr:sp macro="" textlink="">
      <xdr:nvSpPr>
        <xdr:cNvPr id="5" name="Rectangle: Rounded Corners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5330F78-5903-42E7-B9C7-93CDF3BBAFC9}"/>
            </a:ext>
          </a:extLst>
        </xdr:cNvPr>
        <xdr:cNvSpPr/>
      </xdr:nvSpPr>
      <xdr:spPr>
        <a:xfrm>
          <a:off x="3055620" y="7322820"/>
          <a:ext cx="1363980" cy="35052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  <xdr:twoCellAnchor editAs="oneCell">
    <xdr:from>
      <xdr:col>6</xdr:col>
      <xdr:colOff>228600</xdr:colOff>
      <xdr:row>12</xdr:row>
      <xdr:rowOff>129540</xdr:rowOff>
    </xdr:from>
    <xdr:to>
      <xdr:col>7</xdr:col>
      <xdr:colOff>482600</xdr:colOff>
      <xdr:row>16</xdr:row>
      <xdr:rowOff>45720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E1775AC-0955-4501-BBED-6A54D64D8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25540" y="2324100"/>
          <a:ext cx="1511300" cy="647700"/>
        </a:xfrm>
        <a:prstGeom prst="rect">
          <a:avLst/>
        </a:prstGeom>
      </xdr:spPr>
    </xdr:pic>
    <xdr:clientData/>
  </xdr:twoCellAnchor>
  <xdr:twoCellAnchor editAs="oneCell">
    <xdr:from>
      <xdr:col>9</xdr:col>
      <xdr:colOff>1135380</xdr:colOff>
      <xdr:row>0</xdr:row>
      <xdr:rowOff>15239</xdr:rowOff>
    </xdr:from>
    <xdr:to>
      <xdr:col>11</xdr:col>
      <xdr:colOff>30480</xdr:colOff>
      <xdr:row>14</xdr:row>
      <xdr:rowOff>161468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D7BFAD-3542-405F-B469-7F0D60787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858500" y="15239"/>
          <a:ext cx="1737360" cy="270654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53340</xdr:rowOff>
    </xdr:from>
    <xdr:ext cx="1554479" cy="586842"/>
    <xdr:pic>
      <xdr:nvPicPr>
        <xdr:cNvPr id="2" name="Picture 1">
          <a:extLst>
            <a:ext uri="{FF2B5EF4-FFF2-40B4-BE49-F238E27FC236}">
              <a16:creationId xmlns:a16="http://schemas.microsoft.com/office/drawing/2014/main" id="{6385115A-125C-4847-9F45-FF5451A66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07180" y="236220"/>
          <a:ext cx="1554479" cy="586842"/>
        </a:xfrm>
        <a:prstGeom prst="rect">
          <a:avLst/>
        </a:prstGeom>
      </xdr:spPr>
    </xdr:pic>
    <xdr:clientData/>
  </xdr:oneCellAnchor>
  <xdr:twoCellAnchor editAs="oneCell">
    <xdr:from>
      <xdr:col>1</xdr:col>
      <xdr:colOff>601980</xdr:colOff>
      <xdr:row>0</xdr:row>
      <xdr:rowOff>175260</xdr:rowOff>
    </xdr:from>
    <xdr:to>
      <xdr:col>4</xdr:col>
      <xdr:colOff>281940</xdr:colOff>
      <xdr:row>14</xdr:row>
      <xdr:rowOff>84072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B913C03-0732-4EF5-A3F2-B0D805526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8220" y="175260"/>
          <a:ext cx="1584960" cy="2469132"/>
        </a:xfrm>
        <a:prstGeom prst="rect">
          <a:avLst/>
        </a:prstGeom>
      </xdr:spPr>
    </xdr:pic>
    <xdr:clientData/>
  </xdr:twoCellAnchor>
  <xdr:oneCellAnchor>
    <xdr:from>
      <xdr:col>1</xdr:col>
      <xdr:colOff>76200</xdr:colOff>
      <xdr:row>25</xdr:row>
      <xdr:rowOff>53340</xdr:rowOff>
    </xdr:from>
    <xdr:ext cx="960120" cy="960120"/>
    <xdr:pic>
      <xdr:nvPicPr>
        <xdr:cNvPr id="5" name="Picture 4">
          <a:extLst>
            <a:ext uri="{FF2B5EF4-FFF2-40B4-BE49-F238E27FC236}">
              <a16:creationId xmlns:a16="http://schemas.microsoft.com/office/drawing/2014/main" id="{200A7591-0A92-402E-AF91-94FBEC920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72440" y="5646420"/>
          <a:ext cx="960120" cy="96012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setiadi.me/" TargetMode="External"/><Relationship Id="rId2" Type="http://schemas.openxmlformats.org/officeDocument/2006/relationships/hyperlink" Target="https://www.threads.com/@andisetiadi" TargetMode="External"/><Relationship Id="rId1" Type="http://schemas.openxmlformats.org/officeDocument/2006/relationships/hyperlink" Target="https://belajarexcel.id/xl-test/" TargetMode="External"/><Relationship Id="rId5" Type="http://schemas.openxmlformats.org/officeDocument/2006/relationships/drawing" Target="../drawings/drawing2.xml"/><Relationship Id="rId4" Type="http://schemas.openxmlformats.org/officeDocument/2006/relationships/hyperlink" Target="https://lynk.id/setiadi/page/jawaban-xl-tes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253E-E795-4A39-B058-FD336EEFD74D}">
  <sheetPr codeName="Sheet1"/>
  <dimension ref="A19:O80"/>
  <sheetViews>
    <sheetView tabSelected="1" zoomScaleNormal="100" workbookViewId="0">
      <selection activeCell="M74" sqref="M74"/>
    </sheetView>
  </sheetViews>
  <sheetFormatPr defaultRowHeight="14.4"/>
  <cols>
    <col min="1" max="1" width="8.21875" customWidth="1"/>
    <col min="2" max="2" width="13.21875" customWidth="1"/>
    <col min="3" max="3" width="25.33203125" customWidth="1"/>
    <col min="4" max="4" width="11.88671875" customWidth="1"/>
    <col min="5" max="5" width="10.44140625" customWidth="1"/>
    <col min="6" max="7" width="18.33203125" customWidth="1"/>
    <col min="8" max="8" width="18.109375" customWidth="1"/>
    <col min="9" max="9" width="17.88671875" customWidth="1"/>
    <col min="10" max="10" width="16.77734375" customWidth="1"/>
    <col min="11" max="11" width="24.6640625" customWidth="1"/>
    <col min="12" max="12" width="22.109375" customWidth="1"/>
    <col min="13" max="13" width="24.21875" customWidth="1"/>
    <col min="14" max="14" width="19.33203125" customWidth="1"/>
  </cols>
  <sheetData>
    <row r="19" spans="1:11" ht="22.8">
      <c r="A19" s="74" t="s">
        <v>91</v>
      </c>
      <c r="B19" s="74"/>
      <c r="C19" s="74"/>
      <c r="D19" s="74"/>
      <c r="E19" s="74"/>
      <c r="F19" s="74"/>
      <c r="G19" s="74"/>
      <c r="H19" s="74"/>
      <c r="I19" s="74"/>
      <c r="J19" s="74"/>
      <c r="K19" s="74"/>
    </row>
    <row r="20" spans="1:11" ht="15.6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9"/>
    </row>
    <row r="21" spans="1:11" ht="15.6">
      <c r="A21" s="33"/>
      <c r="B21" s="31" t="s">
        <v>116</v>
      </c>
      <c r="C21" s="33"/>
      <c r="D21" s="30"/>
      <c r="E21" s="30"/>
      <c r="F21" s="30"/>
      <c r="G21" s="30"/>
      <c r="H21" s="30"/>
      <c r="I21" s="30"/>
      <c r="J21" s="30"/>
      <c r="K21" s="32"/>
    </row>
    <row r="22" spans="1:11" ht="15.6">
      <c r="A22" s="33"/>
      <c r="B22" s="31"/>
      <c r="D22" s="30"/>
      <c r="E22" s="30"/>
      <c r="F22" s="30"/>
      <c r="G22" s="30"/>
      <c r="H22" s="30"/>
      <c r="I22" s="30"/>
      <c r="J22" s="30"/>
      <c r="K22" s="32"/>
    </row>
    <row r="23" spans="1:11" ht="15.6">
      <c r="A23" s="33"/>
      <c r="B23" s="39" t="s">
        <v>92</v>
      </c>
      <c r="C23" s="48" t="s">
        <v>112</v>
      </c>
      <c r="D23" s="33"/>
      <c r="E23" s="30"/>
      <c r="F23" s="33"/>
      <c r="G23" s="33"/>
      <c r="H23" s="30"/>
      <c r="I23" s="30"/>
      <c r="J23" s="30"/>
      <c r="K23" s="32"/>
    </row>
    <row r="24" spans="1:11" ht="15.6">
      <c r="A24" s="33"/>
      <c r="B24" s="40">
        <v>1</v>
      </c>
      <c r="C24" s="33" t="s">
        <v>104</v>
      </c>
      <c r="D24" s="33"/>
      <c r="E24" s="30"/>
      <c r="F24" s="33"/>
      <c r="G24" s="33"/>
      <c r="H24" s="30"/>
      <c r="I24" s="30"/>
      <c r="J24" s="30"/>
      <c r="K24" s="32"/>
    </row>
    <row r="25" spans="1:11" ht="15.6">
      <c r="A25" s="33"/>
      <c r="B25" s="40">
        <v>2</v>
      </c>
      <c r="C25" s="33" t="s">
        <v>105</v>
      </c>
      <c r="D25" s="33"/>
      <c r="E25" s="30"/>
      <c r="F25" s="33"/>
      <c r="G25" s="33"/>
      <c r="H25" s="30"/>
      <c r="I25" s="30"/>
      <c r="J25" s="30"/>
      <c r="K25" s="32"/>
    </row>
    <row r="26" spans="1:11" ht="15.6">
      <c r="A26" s="33"/>
      <c r="B26" s="40">
        <v>3</v>
      </c>
      <c r="C26" s="33" t="s">
        <v>108</v>
      </c>
      <c r="D26" s="33"/>
      <c r="E26" s="30"/>
      <c r="F26" s="33"/>
      <c r="G26" s="33"/>
      <c r="H26" s="30"/>
      <c r="I26" s="30"/>
      <c r="J26" s="30"/>
      <c r="K26" s="32"/>
    </row>
    <row r="27" spans="1:11" ht="15.6">
      <c r="A27" s="33"/>
      <c r="B27" s="40">
        <v>4</v>
      </c>
      <c r="C27" s="33" t="s">
        <v>109</v>
      </c>
      <c r="D27" s="33"/>
      <c r="E27" s="30"/>
      <c r="F27" s="33"/>
      <c r="G27" s="33"/>
      <c r="H27" s="30"/>
      <c r="I27" s="30"/>
      <c r="J27" s="30"/>
      <c r="K27" s="32"/>
    </row>
    <row r="28" spans="1:11" ht="15.6">
      <c r="A28" s="33"/>
      <c r="B28" s="40">
        <v>5</v>
      </c>
      <c r="C28" s="33" t="s">
        <v>110</v>
      </c>
      <c r="D28" s="33"/>
      <c r="E28" s="30"/>
      <c r="F28" s="33"/>
      <c r="G28" s="33"/>
      <c r="H28" s="30"/>
      <c r="I28" s="30"/>
      <c r="J28" s="30"/>
      <c r="K28" s="32"/>
    </row>
    <row r="29" spans="1:11" ht="15.6">
      <c r="A29" s="33"/>
      <c r="B29" s="40">
        <v>6</v>
      </c>
      <c r="C29" s="33" t="s">
        <v>111</v>
      </c>
      <c r="D29" s="33"/>
      <c r="E29" s="30"/>
      <c r="F29" s="33"/>
      <c r="G29" s="33"/>
      <c r="H29" s="30"/>
      <c r="I29" s="30"/>
      <c r="J29" s="30"/>
      <c r="K29" s="32"/>
    </row>
    <row r="30" spans="1:11" ht="15.6">
      <c r="A30" s="33"/>
      <c r="B30" s="40">
        <v>7</v>
      </c>
      <c r="C30" s="33" t="s">
        <v>113</v>
      </c>
      <c r="D30" s="33"/>
      <c r="E30" s="30"/>
      <c r="F30" s="33"/>
      <c r="G30" s="33"/>
      <c r="H30" s="30"/>
      <c r="I30" s="30"/>
      <c r="J30" s="30"/>
      <c r="K30" s="32"/>
    </row>
    <row r="31" spans="1:11" ht="15.6">
      <c r="A31" s="33"/>
      <c r="B31" s="40">
        <v>8</v>
      </c>
      <c r="C31" s="33" t="s">
        <v>114</v>
      </c>
      <c r="D31" s="33"/>
      <c r="E31" s="30"/>
      <c r="F31" s="33"/>
      <c r="G31" s="33"/>
      <c r="H31" s="30"/>
      <c r="I31" s="30"/>
      <c r="J31" s="30"/>
      <c r="K31" s="32"/>
    </row>
    <row r="32" spans="1:11" ht="15.6">
      <c r="A32" s="33"/>
      <c r="B32" s="40">
        <v>9</v>
      </c>
      <c r="C32" s="33" t="s">
        <v>115</v>
      </c>
      <c r="D32" s="33"/>
      <c r="E32" s="30"/>
      <c r="F32" s="33"/>
      <c r="G32" s="33"/>
      <c r="H32" s="30"/>
      <c r="I32" s="30"/>
      <c r="J32" s="30"/>
      <c r="K32" s="32"/>
    </row>
    <row r="33" spans="1:15" ht="15.6">
      <c r="A33" s="33"/>
      <c r="B33" s="40">
        <v>10</v>
      </c>
      <c r="C33" s="33" t="s">
        <v>119</v>
      </c>
      <c r="D33" s="33"/>
      <c r="E33" s="30"/>
      <c r="F33" s="33"/>
      <c r="G33" s="33"/>
      <c r="H33" s="30"/>
      <c r="I33" s="30"/>
      <c r="J33" s="30"/>
      <c r="K33" s="32"/>
    </row>
    <row r="34" spans="1:15" ht="15.6">
      <c r="A34" s="33"/>
      <c r="B34" s="33"/>
      <c r="C34" s="33"/>
      <c r="D34" s="33"/>
      <c r="E34" s="30"/>
      <c r="F34" s="33"/>
      <c r="G34" s="33"/>
      <c r="H34" s="30"/>
      <c r="I34" s="30"/>
      <c r="J34" s="30"/>
      <c r="K34" s="32"/>
    </row>
    <row r="35" spans="1:15" ht="15.6">
      <c r="A35" s="33"/>
      <c r="B35" s="33"/>
      <c r="C35" s="34" t="s">
        <v>93</v>
      </c>
      <c r="D35" s="30"/>
      <c r="E35" s="30"/>
      <c r="F35" s="33"/>
      <c r="G35" s="33"/>
      <c r="H35" s="30"/>
      <c r="I35" s="30"/>
      <c r="J35" s="30"/>
      <c r="K35" s="32"/>
    </row>
    <row r="36" spans="1:15" ht="15.6">
      <c r="A36" s="33"/>
      <c r="B36" s="33"/>
      <c r="C36" s="34" t="s">
        <v>94</v>
      </c>
      <c r="D36" s="30"/>
      <c r="E36" s="30"/>
      <c r="F36" s="33"/>
      <c r="G36" s="33"/>
      <c r="H36" s="30"/>
      <c r="I36" s="30"/>
      <c r="J36" s="30"/>
      <c r="K36" s="32"/>
    </row>
    <row r="37" spans="1:15" ht="15.6">
      <c r="A37" s="33"/>
      <c r="B37" s="34"/>
      <c r="C37" s="30"/>
      <c r="D37" s="30"/>
      <c r="E37" s="30"/>
      <c r="F37" s="33"/>
      <c r="G37" s="33"/>
      <c r="H37" s="30"/>
      <c r="I37" s="30"/>
      <c r="J37" s="30"/>
      <c r="K37" s="32"/>
    </row>
    <row r="38" spans="1:15" ht="15.6">
      <c r="A38" s="35"/>
      <c r="B38" s="36"/>
      <c r="C38" s="36"/>
      <c r="D38" s="36"/>
      <c r="E38" s="36"/>
      <c r="F38" s="36"/>
      <c r="G38" s="36"/>
      <c r="H38" s="36"/>
      <c r="I38" s="36"/>
      <c r="J38" s="36"/>
      <c r="K38" s="37"/>
    </row>
    <row r="39" spans="1:15" ht="22.8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</row>
    <row r="40" spans="1:15" ht="15" customHeight="1">
      <c r="B40" s="38"/>
      <c r="C40" s="38"/>
      <c r="D40" s="38"/>
      <c r="E40" s="38"/>
      <c r="F40" s="38"/>
      <c r="G40" s="38"/>
      <c r="H40" s="38"/>
      <c r="I40" s="38"/>
      <c r="J40" s="38"/>
      <c r="K40" s="38"/>
    </row>
    <row r="41" spans="1: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spans="1:15" ht="18">
      <c r="A42" s="75" t="s">
        <v>0</v>
      </c>
      <c r="B42" s="75"/>
      <c r="C42" s="75"/>
      <c r="D42" s="75"/>
      <c r="E42" s="75"/>
      <c r="F42" s="75"/>
      <c r="G42" s="75"/>
      <c r="H42" s="75"/>
      <c r="I42" s="75"/>
      <c r="J42" s="75"/>
      <c r="K42" s="75"/>
      <c r="L42" s="45"/>
      <c r="M42" s="45"/>
      <c r="N42" s="45"/>
    </row>
    <row r="43" spans="1:15" ht="18">
      <c r="A43" s="75" t="s">
        <v>1</v>
      </c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45"/>
      <c r="M43" s="45"/>
      <c r="N43" s="45"/>
    </row>
    <row r="45" spans="1:15" ht="15" thickBot="1"/>
    <row r="46" spans="1:15" ht="18" thickBot="1">
      <c r="A46" s="42"/>
      <c r="B46" s="42"/>
      <c r="C46" s="42"/>
      <c r="D46" s="42"/>
      <c r="E46" s="42"/>
      <c r="F46" s="41">
        <v>1</v>
      </c>
      <c r="G46" s="41">
        <v>2</v>
      </c>
      <c r="H46" s="41">
        <v>3</v>
      </c>
      <c r="I46" s="41">
        <v>4</v>
      </c>
      <c r="J46" s="41">
        <v>5</v>
      </c>
      <c r="K46" s="41">
        <v>6</v>
      </c>
      <c r="L46" s="41">
        <v>7</v>
      </c>
      <c r="M46" s="41">
        <v>8</v>
      </c>
      <c r="N46" s="41">
        <v>9</v>
      </c>
    </row>
    <row r="47" spans="1:15" ht="27" customHeight="1">
      <c r="A47" s="76" t="s">
        <v>2</v>
      </c>
      <c r="B47" s="76" t="s">
        <v>3</v>
      </c>
      <c r="C47" s="76" t="s">
        <v>4</v>
      </c>
      <c r="D47" s="76" t="s">
        <v>5</v>
      </c>
      <c r="E47" s="76"/>
      <c r="F47" s="76" t="s">
        <v>96</v>
      </c>
      <c r="G47" s="76"/>
      <c r="H47" s="76"/>
      <c r="I47" s="76" t="s">
        <v>97</v>
      </c>
      <c r="J47" s="76" t="s">
        <v>98</v>
      </c>
      <c r="K47" s="76" t="s">
        <v>99</v>
      </c>
      <c r="L47" s="76" t="s">
        <v>100</v>
      </c>
      <c r="M47" s="76" t="s">
        <v>101</v>
      </c>
      <c r="N47" s="76" t="s">
        <v>102</v>
      </c>
    </row>
    <row r="48" spans="1:15" ht="28.95" customHeight="1">
      <c r="A48" s="76"/>
      <c r="B48" s="76"/>
      <c r="C48" s="76"/>
      <c r="D48" s="12" t="s">
        <v>7</v>
      </c>
      <c r="E48" s="12" t="s">
        <v>8</v>
      </c>
      <c r="F48" s="12" t="s">
        <v>9</v>
      </c>
      <c r="G48" s="12" t="s">
        <v>10</v>
      </c>
      <c r="H48" s="12" t="s">
        <v>95</v>
      </c>
      <c r="I48" s="76"/>
      <c r="J48" s="76"/>
      <c r="K48" s="76"/>
      <c r="L48" s="76"/>
      <c r="M48" s="76"/>
      <c r="N48" s="76"/>
    </row>
    <row r="49" spans="1:14" ht="20.399999999999999" customHeight="1">
      <c r="A49" s="43" t="s">
        <v>106</v>
      </c>
      <c r="B49" s="13" t="s">
        <v>30</v>
      </c>
      <c r="C49" s="18" t="s">
        <v>107</v>
      </c>
      <c r="D49" s="13" t="s">
        <v>12</v>
      </c>
      <c r="E49" s="13" t="s">
        <v>25</v>
      </c>
      <c r="F49" s="19">
        <v>3500000</v>
      </c>
      <c r="G49" s="19">
        <v>1650000</v>
      </c>
      <c r="H49" s="19">
        <v>350000</v>
      </c>
      <c r="I49" s="19">
        <v>5500000</v>
      </c>
      <c r="J49" s="46">
        <v>0.04</v>
      </c>
      <c r="K49" s="19">
        <v>5280000</v>
      </c>
      <c r="L49" s="20">
        <v>825000</v>
      </c>
      <c r="M49" s="19">
        <v>275000</v>
      </c>
      <c r="N49" s="19">
        <v>4180000</v>
      </c>
    </row>
    <row r="50" spans="1:14" ht="4.8" customHeight="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</row>
    <row r="51" spans="1:14" ht="19.95" customHeight="1">
      <c r="A51" s="44">
        <v>1</v>
      </c>
      <c r="B51" s="13" t="s">
        <v>24</v>
      </c>
      <c r="C51" s="18" t="s">
        <v>28</v>
      </c>
      <c r="D51" s="13" t="s">
        <v>14</v>
      </c>
      <c r="E51" s="13" t="s">
        <v>19</v>
      </c>
      <c r="F51" s="19">
        <f>VLOOKUP(B51,DATA!$F$3:$I$7,2,)</f>
        <v>3200000</v>
      </c>
      <c r="G51" s="19">
        <f>VLOOKUP(B51,DATA!$F$3:$I$7,3,)</f>
        <v>1350000</v>
      </c>
      <c r="H51" s="19">
        <f>VLOOKUP(B51,DATA!$F$3:$I$7,4,)</f>
        <v>13000</v>
      </c>
      <c r="I51" s="19">
        <f>'XL-Test'!F51+'XL-Test'!G51+'XL-Test'!H51</f>
        <v>4563000</v>
      </c>
      <c r="J51" s="46">
        <f>HLOOKUP(B51,DATA!$F$11:$J$12,2,)</f>
        <v>0.03</v>
      </c>
      <c r="K51" s="19">
        <f>I51-(I51*J51)</f>
        <v>4426110</v>
      </c>
      <c r="L51" s="20">
        <f>VLOOKUP(D51,DATA!$C$3:$D$7,2,)*I51</f>
        <v>0</v>
      </c>
      <c r="M51" s="19">
        <f>_xlfn.XLOOKUP(E51,DATA!$D$11:$D$16,DATA!$C$11:$C$16)*I51</f>
        <v>1140750</v>
      </c>
      <c r="N51" s="19">
        <f>K51-L51-M51</f>
        <v>3285360</v>
      </c>
    </row>
    <row r="52" spans="1:14" ht="19.95" customHeight="1">
      <c r="A52" s="44">
        <v>2</v>
      </c>
      <c r="B52" s="13" t="s">
        <v>30</v>
      </c>
      <c r="C52" s="18" t="s">
        <v>31</v>
      </c>
      <c r="D52" s="13" t="s">
        <v>14</v>
      </c>
      <c r="E52" s="13" t="s">
        <v>25</v>
      </c>
      <c r="F52" s="19">
        <f>VLOOKUP(B52,DATA!$F$3:$I$7,2,)</f>
        <v>3500000</v>
      </c>
      <c r="G52" s="19">
        <f>VLOOKUP(B52,DATA!$F$3:$I$7,3,)</f>
        <v>1650000</v>
      </c>
      <c r="H52" s="19">
        <f>VLOOKUP(B52,DATA!$F$3:$I$7,4,)</f>
        <v>14000</v>
      </c>
      <c r="I52" s="19">
        <f>'XL-Test'!F52+'XL-Test'!G52+'XL-Test'!H52</f>
        <v>5164000</v>
      </c>
      <c r="J52" s="46">
        <f>HLOOKUP(B52,DATA!$F$11:$J$12,2,)</f>
        <v>0.04</v>
      </c>
      <c r="K52" s="19">
        <f t="shared" ref="K52:K73" si="0">I52-(I52*J52)</f>
        <v>4957440</v>
      </c>
      <c r="L52" s="20">
        <f>VLOOKUP(D52,DATA!$C$3:$D$7,2,)*I52</f>
        <v>0</v>
      </c>
      <c r="M52" s="19">
        <f>_xlfn.XLOOKUP(E52,DATA!$D$11:$D$16,DATA!$C$11:$C$16)*I52</f>
        <v>258200</v>
      </c>
      <c r="N52" s="19">
        <f t="shared" ref="N52:N73" si="1">K52-L52-M52</f>
        <v>4699240</v>
      </c>
    </row>
    <row r="53" spans="1:14" ht="19.95" customHeight="1">
      <c r="A53" s="44">
        <v>3</v>
      </c>
      <c r="B53" s="13" t="s">
        <v>11</v>
      </c>
      <c r="C53" s="18" t="s">
        <v>18</v>
      </c>
      <c r="D53" s="13" t="s">
        <v>12</v>
      </c>
      <c r="E53" s="13" t="s">
        <v>19</v>
      </c>
      <c r="F53" s="19">
        <f>VLOOKUP(B53,DATA!$F$3:$I$7,2,)</f>
        <v>3000000</v>
      </c>
      <c r="G53" s="19">
        <f>VLOOKUP(B53,DATA!$F$3:$I$7,3,)</f>
        <v>1150000</v>
      </c>
      <c r="H53" s="19">
        <f>VLOOKUP(B53,DATA!$F$3:$I$7,4,)</f>
        <v>12000</v>
      </c>
      <c r="I53" s="19">
        <f>'XL-Test'!F53+'XL-Test'!G53+'XL-Test'!H53</f>
        <v>4162000</v>
      </c>
      <c r="J53" s="46">
        <f>HLOOKUP(B53,DATA!$F$11:$J$12,2,)</f>
        <v>0.02</v>
      </c>
      <c r="K53" s="19">
        <f t="shared" si="0"/>
        <v>4078760</v>
      </c>
      <c r="L53" s="20">
        <f>VLOOKUP(D53,DATA!$C$3:$D$7,2,)*I53</f>
        <v>624300</v>
      </c>
      <c r="M53" s="19">
        <f>_xlfn.XLOOKUP(E53,DATA!$D$11:$D$16,DATA!$C$11:$C$16)*I53</f>
        <v>1040500</v>
      </c>
      <c r="N53" s="19">
        <f t="shared" si="1"/>
        <v>2413960</v>
      </c>
    </row>
    <row r="54" spans="1:14" ht="19.95" customHeight="1">
      <c r="A54" s="44">
        <v>4</v>
      </c>
      <c r="B54" s="13" t="s">
        <v>39</v>
      </c>
      <c r="C54" s="18" t="s">
        <v>41</v>
      </c>
      <c r="D54" s="13" t="s">
        <v>14</v>
      </c>
      <c r="E54" s="13" t="s">
        <v>16</v>
      </c>
      <c r="F54" s="19">
        <f>VLOOKUP(B54,DATA!$F$3:$I$7,2,)</f>
        <v>3850000</v>
      </c>
      <c r="G54" s="19">
        <f>VLOOKUP(B54,DATA!$F$3:$I$7,3,)</f>
        <v>1850000</v>
      </c>
      <c r="H54" s="19">
        <f>VLOOKUP(B54,DATA!$F$3:$I$7,4,)</f>
        <v>15000</v>
      </c>
      <c r="I54" s="19">
        <f>'XL-Test'!F54+'XL-Test'!G54+'XL-Test'!H54</f>
        <v>5715000</v>
      </c>
      <c r="J54" s="46">
        <f>HLOOKUP(B54,DATA!$F$11:$J$12,2,)</f>
        <v>0.05</v>
      </c>
      <c r="K54" s="19">
        <f t="shared" si="0"/>
        <v>5429250</v>
      </c>
      <c r="L54" s="20">
        <f>VLOOKUP(D54,DATA!$C$3:$D$7,2,)*I54</f>
        <v>0</v>
      </c>
      <c r="M54" s="19">
        <f>_xlfn.XLOOKUP(E54,DATA!$D$11:$D$16,DATA!$C$11:$C$16)*I54</f>
        <v>0</v>
      </c>
      <c r="N54" s="19">
        <f t="shared" si="1"/>
        <v>5429250</v>
      </c>
    </row>
    <row r="55" spans="1:14" ht="19.95" customHeight="1">
      <c r="A55" s="44">
        <v>5</v>
      </c>
      <c r="B55" s="13" t="s">
        <v>30</v>
      </c>
      <c r="C55" s="18" t="s">
        <v>32</v>
      </c>
      <c r="D55" s="13" t="s">
        <v>26</v>
      </c>
      <c r="E55" s="13" t="s">
        <v>13</v>
      </c>
      <c r="F55" s="19">
        <f>VLOOKUP(B55,DATA!$F$3:$I$7,2,)</f>
        <v>3500000</v>
      </c>
      <c r="G55" s="19">
        <f>VLOOKUP(B55,DATA!$F$3:$I$7,3,)</f>
        <v>1650000</v>
      </c>
      <c r="H55" s="19">
        <f>VLOOKUP(B55,DATA!$F$3:$I$7,4,)</f>
        <v>14000</v>
      </c>
      <c r="I55" s="19">
        <f>'XL-Test'!F55+'XL-Test'!G55+'XL-Test'!H55</f>
        <v>5164000</v>
      </c>
      <c r="J55" s="46">
        <f>HLOOKUP(B55,DATA!$F$11:$J$12,2,)</f>
        <v>0.04</v>
      </c>
      <c r="K55" s="19">
        <f t="shared" si="0"/>
        <v>4957440</v>
      </c>
      <c r="L55" s="20">
        <f>VLOOKUP(D55,DATA!$C$3:$D$7,2,)*I55</f>
        <v>2582000</v>
      </c>
      <c r="M55" s="19">
        <f>_xlfn.XLOOKUP(E55,DATA!$D$11:$D$16,DATA!$C$11:$C$16)*I55</f>
        <v>774600</v>
      </c>
      <c r="N55" s="19">
        <f t="shared" si="1"/>
        <v>1600840</v>
      </c>
    </row>
    <row r="56" spans="1:14" ht="19.95" customHeight="1">
      <c r="A56" s="44">
        <v>6</v>
      </c>
      <c r="B56" s="13" t="s">
        <v>11</v>
      </c>
      <c r="C56" s="18" t="s">
        <v>15</v>
      </c>
      <c r="D56" s="13" t="s">
        <v>14</v>
      </c>
      <c r="E56" s="13" t="s">
        <v>16</v>
      </c>
      <c r="F56" s="19">
        <f>VLOOKUP(B56,DATA!$F$3:$I$7,2,)</f>
        <v>3000000</v>
      </c>
      <c r="G56" s="19">
        <f>VLOOKUP(B56,DATA!$F$3:$I$7,3,)</f>
        <v>1150000</v>
      </c>
      <c r="H56" s="19">
        <f>VLOOKUP(B56,DATA!$F$3:$I$7,4,)</f>
        <v>12000</v>
      </c>
      <c r="I56" s="19">
        <f>'XL-Test'!F56+'XL-Test'!G56+'XL-Test'!H56</f>
        <v>4162000</v>
      </c>
      <c r="J56" s="46">
        <f>HLOOKUP(B56,DATA!$F$11:$J$12,2,)</f>
        <v>0.02</v>
      </c>
      <c r="K56" s="19">
        <f t="shared" si="0"/>
        <v>4078760</v>
      </c>
      <c r="L56" s="20">
        <f>VLOOKUP(D56,DATA!$C$3:$D$7,2,)*I56</f>
        <v>0</v>
      </c>
      <c r="M56" s="19">
        <f>_xlfn.XLOOKUP(E56,DATA!$D$11:$D$16,DATA!$C$11:$C$16)*I56</f>
        <v>0</v>
      </c>
      <c r="N56" s="19">
        <f t="shared" si="1"/>
        <v>4078760</v>
      </c>
    </row>
    <row r="57" spans="1:14" ht="19.95" customHeight="1">
      <c r="A57" s="44">
        <v>7</v>
      </c>
      <c r="B57" s="13" t="s">
        <v>30</v>
      </c>
      <c r="C57" s="18" t="s">
        <v>38</v>
      </c>
      <c r="D57" s="13" t="s">
        <v>14</v>
      </c>
      <c r="E57" s="13" t="s">
        <v>23</v>
      </c>
      <c r="F57" s="19">
        <f>VLOOKUP(B57,DATA!$F$3:$I$7,2,)</f>
        <v>3500000</v>
      </c>
      <c r="G57" s="19">
        <f>VLOOKUP(B57,DATA!$F$3:$I$7,3,)</f>
        <v>1650000</v>
      </c>
      <c r="H57" s="19">
        <f>VLOOKUP(B57,DATA!$F$3:$I$7,4,)</f>
        <v>14000</v>
      </c>
      <c r="I57" s="19">
        <f>'XL-Test'!F57+'XL-Test'!G57+'XL-Test'!H57</f>
        <v>5164000</v>
      </c>
      <c r="J57" s="46">
        <f>HLOOKUP(B57,DATA!$F$11:$J$12,2,)</f>
        <v>0.04</v>
      </c>
      <c r="K57" s="19">
        <f t="shared" si="0"/>
        <v>4957440</v>
      </c>
      <c r="L57" s="20">
        <f>VLOOKUP(D57,DATA!$C$3:$D$7,2,)*I57</f>
        <v>0</v>
      </c>
      <c r="M57" s="19">
        <f>_xlfn.XLOOKUP(E57,DATA!$D$11:$D$16,DATA!$C$11:$C$16)*I57</f>
        <v>516400</v>
      </c>
      <c r="N57" s="19">
        <f t="shared" si="1"/>
        <v>4441040</v>
      </c>
    </row>
    <row r="58" spans="1:14" ht="19.95" customHeight="1">
      <c r="A58" s="44">
        <v>8</v>
      </c>
      <c r="B58" s="13" t="s">
        <v>39</v>
      </c>
      <c r="C58" s="18" t="s">
        <v>44</v>
      </c>
      <c r="D58" s="13" t="s">
        <v>29</v>
      </c>
      <c r="E58" s="13" t="s">
        <v>25</v>
      </c>
      <c r="F58" s="19">
        <f>VLOOKUP(B58,DATA!$F$3:$I$7,2,)</f>
        <v>3850000</v>
      </c>
      <c r="G58" s="19">
        <f>VLOOKUP(B58,DATA!$F$3:$I$7,3,)</f>
        <v>1850000</v>
      </c>
      <c r="H58" s="19">
        <f>VLOOKUP(B58,DATA!$F$3:$I$7,4,)</f>
        <v>15000</v>
      </c>
      <c r="I58" s="19">
        <f>'XL-Test'!F58+'XL-Test'!G58+'XL-Test'!H58</f>
        <v>5715000</v>
      </c>
      <c r="J58" s="46">
        <f>HLOOKUP(B58,DATA!$F$11:$J$12,2,)</f>
        <v>0.05</v>
      </c>
      <c r="K58" s="19">
        <f t="shared" si="0"/>
        <v>5429250</v>
      </c>
      <c r="L58" s="20">
        <f>VLOOKUP(D58,DATA!$C$3:$D$7,2,)*I58</f>
        <v>1428750</v>
      </c>
      <c r="M58" s="19">
        <f>_xlfn.XLOOKUP(E58,DATA!$D$11:$D$16,DATA!$C$11:$C$16)*I58</f>
        <v>285750</v>
      </c>
      <c r="N58" s="19">
        <f t="shared" si="1"/>
        <v>3714750</v>
      </c>
    </row>
    <row r="59" spans="1:14" ht="19.95" customHeight="1">
      <c r="A59" s="44">
        <v>9</v>
      </c>
      <c r="B59" s="13" t="s">
        <v>39</v>
      </c>
      <c r="C59" s="18" t="s">
        <v>42</v>
      </c>
      <c r="D59" s="13" t="s">
        <v>14</v>
      </c>
      <c r="E59" s="13" t="s">
        <v>16</v>
      </c>
      <c r="F59" s="19">
        <f>VLOOKUP(B59,DATA!$F$3:$I$7,2,)</f>
        <v>3850000</v>
      </c>
      <c r="G59" s="19">
        <f>VLOOKUP(B59,DATA!$F$3:$I$7,3,)</f>
        <v>1850000</v>
      </c>
      <c r="H59" s="19">
        <f>VLOOKUP(B59,DATA!$F$3:$I$7,4,)</f>
        <v>15000</v>
      </c>
      <c r="I59" s="19">
        <f>'XL-Test'!F59+'XL-Test'!G59+'XL-Test'!H59</f>
        <v>5715000</v>
      </c>
      <c r="J59" s="46">
        <f>HLOOKUP(B59,DATA!$F$11:$J$12,2,)</f>
        <v>0.05</v>
      </c>
      <c r="K59" s="19">
        <f t="shared" si="0"/>
        <v>5429250</v>
      </c>
      <c r="L59" s="20">
        <f>VLOOKUP(D59,DATA!$C$3:$D$7,2,)*I59</f>
        <v>0</v>
      </c>
      <c r="M59" s="19">
        <f>_xlfn.XLOOKUP(E59,DATA!$D$11:$D$16,DATA!$C$11:$C$16)*I59</f>
        <v>0</v>
      </c>
      <c r="N59" s="19">
        <f t="shared" si="1"/>
        <v>5429250</v>
      </c>
    </row>
    <row r="60" spans="1:14" ht="19.95" customHeight="1">
      <c r="A60" s="44">
        <v>10</v>
      </c>
      <c r="B60" s="13" t="s">
        <v>39</v>
      </c>
      <c r="C60" s="18" t="s">
        <v>40</v>
      </c>
      <c r="D60" s="13" t="s">
        <v>12</v>
      </c>
      <c r="E60" s="13" t="s">
        <v>25</v>
      </c>
      <c r="F60" s="19">
        <f>VLOOKUP(B60,DATA!$F$3:$I$7,2,)</f>
        <v>3850000</v>
      </c>
      <c r="G60" s="19">
        <f>VLOOKUP(B60,DATA!$F$3:$I$7,3,)</f>
        <v>1850000</v>
      </c>
      <c r="H60" s="19">
        <f>VLOOKUP(B60,DATA!$F$3:$I$7,4,)</f>
        <v>15000</v>
      </c>
      <c r="I60" s="19">
        <f>'XL-Test'!F60+'XL-Test'!G60+'XL-Test'!H60</f>
        <v>5715000</v>
      </c>
      <c r="J60" s="46">
        <f>HLOOKUP(B60,DATA!$F$11:$J$12,2,)</f>
        <v>0.05</v>
      </c>
      <c r="K60" s="19">
        <f t="shared" si="0"/>
        <v>5429250</v>
      </c>
      <c r="L60" s="20">
        <f>VLOOKUP(D60,DATA!$C$3:$D$7,2,)*I60</f>
        <v>857250</v>
      </c>
      <c r="M60" s="19">
        <f>_xlfn.XLOOKUP(E60,DATA!$D$11:$D$16,DATA!$C$11:$C$16)*I60</f>
        <v>285750</v>
      </c>
      <c r="N60" s="19">
        <f t="shared" si="1"/>
        <v>4286250</v>
      </c>
    </row>
    <row r="61" spans="1:14" ht="19.95" customHeight="1">
      <c r="A61" s="44">
        <v>11</v>
      </c>
      <c r="B61" s="13" t="s">
        <v>11</v>
      </c>
      <c r="C61" s="18" t="s">
        <v>20</v>
      </c>
      <c r="D61" s="13" t="s">
        <v>12</v>
      </c>
      <c r="E61" s="13" t="s">
        <v>16</v>
      </c>
      <c r="F61" s="19">
        <f>VLOOKUP(B61,DATA!$F$3:$I$7,2,)</f>
        <v>3000000</v>
      </c>
      <c r="G61" s="19">
        <f>VLOOKUP(B61,DATA!$F$3:$I$7,3,)</f>
        <v>1150000</v>
      </c>
      <c r="H61" s="19">
        <f>VLOOKUP(B61,DATA!$F$3:$I$7,4,)</f>
        <v>12000</v>
      </c>
      <c r="I61" s="19">
        <f>'XL-Test'!F61+'XL-Test'!G61+'XL-Test'!H61</f>
        <v>4162000</v>
      </c>
      <c r="J61" s="46">
        <f>HLOOKUP(B61,DATA!$F$11:$J$12,2,)</f>
        <v>0.02</v>
      </c>
      <c r="K61" s="19">
        <f t="shared" si="0"/>
        <v>4078760</v>
      </c>
      <c r="L61" s="20">
        <f>VLOOKUP(D61,DATA!$C$3:$D$7,2,)*I61</f>
        <v>624300</v>
      </c>
      <c r="M61" s="19">
        <f>_xlfn.XLOOKUP(E61,DATA!$D$11:$D$16,DATA!$C$11:$C$16)*I61</f>
        <v>0</v>
      </c>
      <c r="N61" s="19">
        <f t="shared" si="1"/>
        <v>3454460</v>
      </c>
    </row>
    <row r="62" spans="1:14" ht="19.95" customHeight="1">
      <c r="A62" s="44">
        <v>12</v>
      </c>
      <c r="B62" s="13" t="s">
        <v>30</v>
      </c>
      <c r="C62" s="18" t="s">
        <v>36</v>
      </c>
      <c r="D62" s="13" t="s">
        <v>29</v>
      </c>
      <c r="E62" s="13" t="s">
        <v>23</v>
      </c>
      <c r="F62" s="19">
        <f>VLOOKUP(B62,DATA!$F$3:$I$7,2,)</f>
        <v>3500000</v>
      </c>
      <c r="G62" s="19">
        <f>VLOOKUP(B62,DATA!$F$3:$I$7,3,)</f>
        <v>1650000</v>
      </c>
      <c r="H62" s="19">
        <f>VLOOKUP(B62,DATA!$F$3:$I$7,4,)</f>
        <v>14000</v>
      </c>
      <c r="I62" s="19">
        <f>'XL-Test'!F62+'XL-Test'!G62+'XL-Test'!H62</f>
        <v>5164000</v>
      </c>
      <c r="J62" s="46">
        <f>HLOOKUP(B62,DATA!$F$11:$J$12,2,)</f>
        <v>0.04</v>
      </c>
      <c r="K62" s="19">
        <f t="shared" si="0"/>
        <v>4957440</v>
      </c>
      <c r="L62" s="20">
        <f>VLOOKUP(D62,DATA!$C$3:$D$7,2,)*I62</f>
        <v>1291000</v>
      </c>
      <c r="M62" s="19">
        <f>_xlfn.XLOOKUP(E62,DATA!$D$11:$D$16,DATA!$C$11:$C$16)*I62</f>
        <v>516400</v>
      </c>
      <c r="N62" s="19">
        <f t="shared" si="1"/>
        <v>3150040</v>
      </c>
    </row>
    <row r="63" spans="1:14" ht="19.95" customHeight="1">
      <c r="A63" s="44">
        <v>13</v>
      </c>
      <c r="B63" s="13" t="s">
        <v>39</v>
      </c>
      <c r="C63" s="18" t="s">
        <v>43</v>
      </c>
      <c r="D63" s="13" t="s">
        <v>14</v>
      </c>
      <c r="E63" s="13" t="s">
        <v>16</v>
      </c>
      <c r="F63" s="19">
        <f>VLOOKUP(B63,DATA!$F$3:$I$7,2,)</f>
        <v>3850000</v>
      </c>
      <c r="G63" s="19">
        <f>VLOOKUP(B63,DATA!$F$3:$I$7,3,)</f>
        <v>1850000</v>
      </c>
      <c r="H63" s="19">
        <f>VLOOKUP(B63,DATA!$F$3:$I$7,4,)</f>
        <v>15000</v>
      </c>
      <c r="I63" s="19">
        <f>'XL-Test'!F63+'XL-Test'!G63+'XL-Test'!H63</f>
        <v>5715000</v>
      </c>
      <c r="J63" s="46">
        <f>HLOOKUP(B63,DATA!$F$11:$J$12,2,)</f>
        <v>0.05</v>
      </c>
      <c r="K63" s="19">
        <f t="shared" si="0"/>
        <v>5429250</v>
      </c>
      <c r="L63" s="20">
        <f>VLOOKUP(D63,DATA!$C$3:$D$7,2,)*I63</f>
        <v>0</v>
      </c>
      <c r="M63" s="19">
        <f>_xlfn.XLOOKUP(E63,DATA!$D$11:$D$16,DATA!$C$11:$C$16)*I63</f>
        <v>0</v>
      </c>
      <c r="N63" s="19">
        <f t="shared" si="1"/>
        <v>5429250</v>
      </c>
    </row>
    <row r="64" spans="1:14" ht="19.95" customHeight="1">
      <c r="A64" s="44">
        <v>14</v>
      </c>
      <c r="B64" s="13" t="s">
        <v>30</v>
      </c>
      <c r="C64" s="18" t="s">
        <v>34</v>
      </c>
      <c r="D64" s="13" t="s">
        <v>29</v>
      </c>
      <c r="E64" s="13" t="s">
        <v>25</v>
      </c>
      <c r="F64" s="19">
        <f>VLOOKUP(B64,DATA!$F$3:$I$7,2,)</f>
        <v>3500000</v>
      </c>
      <c r="G64" s="19">
        <f>VLOOKUP(B64,DATA!$F$3:$I$7,3,)</f>
        <v>1650000</v>
      </c>
      <c r="H64" s="19">
        <f>VLOOKUP(B64,DATA!$F$3:$I$7,4,)</f>
        <v>14000</v>
      </c>
      <c r="I64" s="19">
        <f>'XL-Test'!F64+'XL-Test'!G64+'XL-Test'!H64</f>
        <v>5164000</v>
      </c>
      <c r="J64" s="46">
        <f>HLOOKUP(B64,DATA!$F$11:$J$12,2,)</f>
        <v>0.04</v>
      </c>
      <c r="K64" s="19">
        <f t="shared" si="0"/>
        <v>4957440</v>
      </c>
      <c r="L64" s="20">
        <f>VLOOKUP(D64,DATA!$C$3:$D$7,2,)*I64</f>
        <v>1291000</v>
      </c>
      <c r="M64" s="19">
        <f>_xlfn.XLOOKUP(E64,DATA!$D$11:$D$16,DATA!$C$11:$C$16)*I64</f>
        <v>258200</v>
      </c>
      <c r="N64" s="19">
        <f t="shared" si="1"/>
        <v>3408240</v>
      </c>
    </row>
    <row r="65" spans="1:14" ht="19.95" customHeight="1">
      <c r="A65" s="44">
        <v>15</v>
      </c>
      <c r="B65" s="13" t="s">
        <v>24</v>
      </c>
      <c r="C65" s="18" t="s">
        <v>27</v>
      </c>
      <c r="D65" s="13" t="s">
        <v>14</v>
      </c>
      <c r="E65" s="13" t="s">
        <v>13</v>
      </c>
      <c r="F65" s="19">
        <f>VLOOKUP(B65,DATA!$F$3:$I$7,2,)</f>
        <v>3200000</v>
      </c>
      <c r="G65" s="19">
        <f>VLOOKUP(B65,DATA!$F$3:$I$7,3,)</f>
        <v>1350000</v>
      </c>
      <c r="H65" s="19">
        <f>VLOOKUP(B65,DATA!$F$3:$I$7,4,)</f>
        <v>13000</v>
      </c>
      <c r="I65" s="19">
        <f>'XL-Test'!F65+'XL-Test'!G65+'XL-Test'!H65</f>
        <v>4563000</v>
      </c>
      <c r="J65" s="46">
        <f>HLOOKUP(B65,DATA!$F$11:$J$12,2,)</f>
        <v>0.03</v>
      </c>
      <c r="K65" s="19">
        <f t="shared" si="0"/>
        <v>4426110</v>
      </c>
      <c r="L65" s="20">
        <f>VLOOKUP(D65,DATA!$C$3:$D$7,2,)*I65</f>
        <v>0</v>
      </c>
      <c r="M65" s="19">
        <f>_xlfn.XLOOKUP(E65,DATA!$D$11:$D$16,DATA!$C$11:$C$16)*I65</f>
        <v>684450</v>
      </c>
      <c r="N65" s="19">
        <f t="shared" si="1"/>
        <v>3741660</v>
      </c>
    </row>
    <row r="66" spans="1:14" ht="19.95" customHeight="1">
      <c r="A66" s="44">
        <v>16</v>
      </c>
      <c r="B66" s="13" t="s">
        <v>30</v>
      </c>
      <c r="C66" s="18" t="s">
        <v>37</v>
      </c>
      <c r="D66" s="13" t="s">
        <v>12</v>
      </c>
      <c r="E66" s="13" t="s">
        <v>16</v>
      </c>
      <c r="F66" s="19">
        <f>VLOOKUP(B66,DATA!$F$3:$I$7,2,)</f>
        <v>3500000</v>
      </c>
      <c r="G66" s="19">
        <f>VLOOKUP(B66,DATA!$F$3:$I$7,3,)</f>
        <v>1650000</v>
      </c>
      <c r="H66" s="19">
        <f>VLOOKUP(B66,DATA!$F$3:$I$7,4,)</f>
        <v>14000</v>
      </c>
      <c r="I66" s="19">
        <f>'XL-Test'!F66+'XL-Test'!G66+'XL-Test'!H66</f>
        <v>5164000</v>
      </c>
      <c r="J66" s="46">
        <f>HLOOKUP(B66,DATA!$F$11:$J$12,2,)</f>
        <v>0.04</v>
      </c>
      <c r="K66" s="19">
        <f t="shared" si="0"/>
        <v>4957440</v>
      </c>
      <c r="L66" s="20">
        <f>VLOOKUP(D66,DATA!$C$3:$D$7,2,)*I66</f>
        <v>774600</v>
      </c>
      <c r="M66" s="19">
        <f>_xlfn.XLOOKUP(E66,DATA!$D$11:$D$16,DATA!$C$11:$C$16)*I66</f>
        <v>0</v>
      </c>
      <c r="N66" s="19">
        <f t="shared" si="1"/>
        <v>4182840</v>
      </c>
    </row>
    <row r="67" spans="1:14" ht="19.95" customHeight="1">
      <c r="A67" s="44">
        <v>17</v>
      </c>
      <c r="B67" s="13" t="s">
        <v>11</v>
      </c>
      <c r="C67" s="18" t="s">
        <v>21</v>
      </c>
      <c r="D67" s="13" t="s">
        <v>12</v>
      </c>
      <c r="E67" s="13" t="s">
        <v>16</v>
      </c>
      <c r="F67" s="19">
        <f>VLOOKUP(B67,DATA!$F$3:$I$7,2,)</f>
        <v>3000000</v>
      </c>
      <c r="G67" s="19">
        <f>VLOOKUP(B67,DATA!$F$3:$I$7,3,)</f>
        <v>1150000</v>
      </c>
      <c r="H67" s="19">
        <f>VLOOKUP(B67,DATA!$F$3:$I$7,4,)</f>
        <v>12000</v>
      </c>
      <c r="I67" s="19">
        <f>'XL-Test'!F67+'XL-Test'!G67+'XL-Test'!H67</f>
        <v>4162000</v>
      </c>
      <c r="J67" s="46">
        <f>HLOOKUP(B67,DATA!$F$11:$J$12,2,)</f>
        <v>0.02</v>
      </c>
      <c r="K67" s="19">
        <f t="shared" si="0"/>
        <v>4078760</v>
      </c>
      <c r="L67" s="20">
        <f>VLOOKUP(D67,DATA!$C$3:$D$7,2,)*I67</f>
        <v>624300</v>
      </c>
      <c r="M67" s="19">
        <f>_xlfn.XLOOKUP(E67,DATA!$D$11:$D$16,DATA!$C$11:$C$16)*I67</f>
        <v>0</v>
      </c>
      <c r="N67" s="19">
        <f t="shared" si="1"/>
        <v>3454460</v>
      </c>
    </row>
    <row r="68" spans="1:14" ht="19.95" customHeight="1">
      <c r="A68" s="44">
        <v>18</v>
      </c>
      <c r="B68" s="13" t="s">
        <v>39</v>
      </c>
      <c r="C68" s="18" t="s">
        <v>45</v>
      </c>
      <c r="D68" s="13" t="s">
        <v>14</v>
      </c>
      <c r="E68" s="13" t="s">
        <v>23</v>
      </c>
      <c r="F68" s="19">
        <f>VLOOKUP(B68,DATA!$F$3:$I$7,2,)</f>
        <v>3850000</v>
      </c>
      <c r="G68" s="19">
        <f>VLOOKUP(B68,DATA!$F$3:$I$7,3,)</f>
        <v>1850000</v>
      </c>
      <c r="H68" s="19">
        <f>VLOOKUP(B68,DATA!$F$3:$I$7,4,)</f>
        <v>15000</v>
      </c>
      <c r="I68" s="19">
        <f>'XL-Test'!F68+'XL-Test'!G68+'XL-Test'!H68</f>
        <v>5715000</v>
      </c>
      <c r="J68" s="46">
        <f>HLOOKUP(B68,DATA!$F$11:$J$12,2,)</f>
        <v>0.05</v>
      </c>
      <c r="K68" s="19">
        <f t="shared" si="0"/>
        <v>5429250</v>
      </c>
      <c r="L68" s="20">
        <f>VLOOKUP(D68,DATA!$C$3:$D$7,2,)*I68</f>
        <v>0</v>
      </c>
      <c r="M68" s="19">
        <f>_xlfn.XLOOKUP(E68,DATA!$D$11:$D$16,DATA!$C$11:$C$16)*I68</f>
        <v>571500</v>
      </c>
      <c r="N68" s="19">
        <f t="shared" si="1"/>
        <v>4857750</v>
      </c>
    </row>
    <row r="69" spans="1:14" ht="19.95" customHeight="1">
      <c r="A69" s="44">
        <v>19</v>
      </c>
      <c r="B69" s="13" t="s">
        <v>30</v>
      </c>
      <c r="C69" s="18" t="s">
        <v>35</v>
      </c>
      <c r="D69" s="13" t="s">
        <v>14</v>
      </c>
      <c r="E69" s="13" t="s">
        <v>16</v>
      </c>
      <c r="F69" s="19">
        <f>VLOOKUP(B69,DATA!$F$3:$I$7,2,)</f>
        <v>3500000</v>
      </c>
      <c r="G69" s="19">
        <f>VLOOKUP(B69,DATA!$F$3:$I$7,3,)</f>
        <v>1650000</v>
      </c>
      <c r="H69" s="19">
        <f>VLOOKUP(B69,DATA!$F$3:$I$7,4,)</f>
        <v>14000</v>
      </c>
      <c r="I69" s="19">
        <f>'XL-Test'!F69+'XL-Test'!G69+'XL-Test'!H69</f>
        <v>5164000</v>
      </c>
      <c r="J69" s="46">
        <f>HLOOKUP(B69,DATA!$F$11:$J$12,2,)</f>
        <v>0.04</v>
      </c>
      <c r="K69" s="19">
        <f t="shared" si="0"/>
        <v>4957440</v>
      </c>
      <c r="L69" s="20">
        <f>VLOOKUP(D69,DATA!$C$3:$D$7,2,)*I69</f>
        <v>0</v>
      </c>
      <c r="M69" s="19">
        <f>_xlfn.XLOOKUP(E69,DATA!$D$11:$D$16,DATA!$C$11:$C$16)*I69</f>
        <v>0</v>
      </c>
      <c r="N69" s="19">
        <f t="shared" si="1"/>
        <v>4957440</v>
      </c>
    </row>
    <row r="70" spans="1:14" ht="19.95" customHeight="1">
      <c r="A70" s="44">
        <v>20</v>
      </c>
      <c r="B70" s="13" t="s">
        <v>11</v>
      </c>
      <c r="C70" s="18" t="s">
        <v>22</v>
      </c>
      <c r="D70" s="13" t="s">
        <v>14</v>
      </c>
      <c r="E70" s="13" t="s">
        <v>23</v>
      </c>
      <c r="F70" s="19">
        <f>VLOOKUP(B70,DATA!$F$3:$I$7,2,)</f>
        <v>3000000</v>
      </c>
      <c r="G70" s="19">
        <f>VLOOKUP(B70,DATA!$F$3:$I$7,3,)</f>
        <v>1150000</v>
      </c>
      <c r="H70" s="19">
        <f>VLOOKUP(B70,DATA!$F$3:$I$7,4,)</f>
        <v>12000</v>
      </c>
      <c r="I70" s="19">
        <f>'XL-Test'!F70+'XL-Test'!G70+'XL-Test'!H70</f>
        <v>4162000</v>
      </c>
      <c r="J70" s="46">
        <f>HLOOKUP(B70,DATA!$F$11:$J$12,2,)</f>
        <v>0.02</v>
      </c>
      <c r="K70" s="19">
        <f t="shared" si="0"/>
        <v>4078760</v>
      </c>
      <c r="L70" s="20">
        <f>VLOOKUP(D70,DATA!$C$3:$D$7,2,)*I70</f>
        <v>0</v>
      </c>
      <c r="M70" s="19">
        <f>_xlfn.XLOOKUP(E70,DATA!$D$11:$D$16,DATA!$C$11:$C$16)*I70</f>
        <v>416200</v>
      </c>
      <c r="N70" s="19">
        <f t="shared" si="1"/>
        <v>3662560</v>
      </c>
    </row>
    <row r="71" spans="1:14" ht="19.95" customHeight="1">
      <c r="A71" s="44">
        <v>21</v>
      </c>
      <c r="B71" s="13" t="s">
        <v>39</v>
      </c>
      <c r="C71" s="18" t="s">
        <v>46</v>
      </c>
      <c r="D71" s="13" t="s">
        <v>26</v>
      </c>
      <c r="E71" s="13" t="s">
        <v>19</v>
      </c>
      <c r="F71" s="19">
        <f>VLOOKUP(B71,DATA!$F$3:$I$7,2,)</f>
        <v>3850000</v>
      </c>
      <c r="G71" s="19">
        <f>VLOOKUP(B71,DATA!$F$3:$I$7,3,)</f>
        <v>1850000</v>
      </c>
      <c r="H71" s="19">
        <f>VLOOKUP(B71,DATA!$F$3:$I$7,4,)</f>
        <v>15000</v>
      </c>
      <c r="I71" s="19">
        <f>'XL-Test'!F71+'XL-Test'!G71+'XL-Test'!H71</f>
        <v>5715000</v>
      </c>
      <c r="J71" s="46">
        <f>HLOOKUP(B71,DATA!$F$11:$J$12,2,)</f>
        <v>0.05</v>
      </c>
      <c r="K71" s="19">
        <f t="shared" si="0"/>
        <v>5429250</v>
      </c>
      <c r="L71" s="20">
        <f>VLOOKUP(D71,DATA!$C$3:$D$7,2,)*I71</f>
        <v>2857500</v>
      </c>
      <c r="M71" s="19">
        <f>_xlfn.XLOOKUP(E71,DATA!$D$11:$D$16,DATA!$C$11:$C$16)*I71</f>
        <v>1428750</v>
      </c>
      <c r="N71" s="19">
        <f t="shared" si="1"/>
        <v>1143000</v>
      </c>
    </row>
    <row r="72" spans="1:14" ht="19.95" customHeight="1">
      <c r="A72" s="44">
        <v>22</v>
      </c>
      <c r="B72" s="13" t="s">
        <v>11</v>
      </c>
      <c r="C72" s="18" t="s">
        <v>17</v>
      </c>
      <c r="D72" s="13" t="s">
        <v>14</v>
      </c>
      <c r="E72" s="13" t="s">
        <v>13</v>
      </c>
      <c r="F72" s="19">
        <f>VLOOKUP(B72,DATA!$F$3:$I$7,2,)</f>
        <v>3000000</v>
      </c>
      <c r="G72" s="19">
        <f>VLOOKUP(B72,DATA!$F$3:$I$7,3,)</f>
        <v>1150000</v>
      </c>
      <c r="H72" s="19">
        <f>VLOOKUP(B72,DATA!$F$3:$I$7,4,)</f>
        <v>12000</v>
      </c>
      <c r="I72" s="19">
        <f>'XL-Test'!F72+'XL-Test'!G72+'XL-Test'!H72</f>
        <v>4162000</v>
      </c>
      <c r="J72" s="46">
        <f>HLOOKUP(B72,DATA!$F$11:$J$12,2,)</f>
        <v>0.02</v>
      </c>
      <c r="K72" s="19">
        <f t="shared" si="0"/>
        <v>4078760</v>
      </c>
      <c r="L72" s="20">
        <f>VLOOKUP(D72,DATA!$C$3:$D$7,2,)*I72</f>
        <v>0</v>
      </c>
      <c r="M72" s="19">
        <f>_xlfn.XLOOKUP(E72,DATA!$D$11:$D$16,DATA!$C$11:$C$16)*I72</f>
        <v>624300</v>
      </c>
      <c r="N72" s="19">
        <f t="shared" si="1"/>
        <v>3454460</v>
      </c>
    </row>
    <row r="73" spans="1:14" ht="19.95" customHeight="1" thickBot="1">
      <c r="A73" s="44">
        <v>23</v>
      </c>
      <c r="B73" s="13" t="s">
        <v>30</v>
      </c>
      <c r="C73" s="18" t="s">
        <v>33</v>
      </c>
      <c r="D73" s="13" t="s">
        <v>14</v>
      </c>
      <c r="E73" s="13" t="s">
        <v>16</v>
      </c>
      <c r="F73" s="19">
        <f>VLOOKUP(B73,DATA!$F$3:$I$7,2,)</f>
        <v>3500000</v>
      </c>
      <c r="G73" s="19">
        <f>VLOOKUP(B73,DATA!$F$3:$I$7,3,)</f>
        <v>1650000</v>
      </c>
      <c r="H73" s="19">
        <f>VLOOKUP(B73,DATA!$F$3:$I$7,4,)</f>
        <v>14000</v>
      </c>
      <c r="I73" s="19">
        <f>'XL-Test'!F73+'XL-Test'!G73+'XL-Test'!H73</f>
        <v>5164000</v>
      </c>
      <c r="J73" s="46">
        <f>HLOOKUP(B73,DATA!$F$11:$J$12,2,)</f>
        <v>0.04</v>
      </c>
      <c r="K73" s="19">
        <f t="shared" si="0"/>
        <v>4957440</v>
      </c>
      <c r="L73" s="20">
        <f>VLOOKUP(D73,DATA!$C$3:$D$7,2,)*I73</f>
        <v>0</v>
      </c>
      <c r="M73" s="19">
        <f>_xlfn.XLOOKUP(E73,DATA!$D$11:$D$16,DATA!$C$11:$C$16)*I73</f>
        <v>0</v>
      </c>
      <c r="N73" s="19">
        <f t="shared" si="1"/>
        <v>4957440</v>
      </c>
    </row>
    <row r="74" spans="1:14" ht="19.95" customHeight="1" thickBot="1">
      <c r="A74" s="53"/>
      <c r="B74" s="41">
        <v>10</v>
      </c>
      <c r="C74" s="72" t="s">
        <v>103</v>
      </c>
      <c r="D74" s="72"/>
      <c r="E74" s="73"/>
      <c r="F74" s="21">
        <f t="shared" ref="F74:K74" si="2">SUM(F51:F73)</f>
        <v>79350000</v>
      </c>
      <c r="G74" s="21">
        <f t="shared" si="2"/>
        <v>35750000</v>
      </c>
      <c r="H74" s="21">
        <f t="shared" si="2"/>
        <v>315000</v>
      </c>
      <c r="I74" s="21">
        <f t="shared" si="2"/>
        <v>115415000</v>
      </c>
      <c r="J74" s="22">
        <f>AVERAGE(J51:J73)</f>
        <v>3.695652173913045E-2</v>
      </c>
      <c r="K74" s="21">
        <f t="shared" si="2"/>
        <v>110989050</v>
      </c>
      <c r="L74" s="21">
        <f>SUM(L51:L73)</f>
        <v>12955000</v>
      </c>
      <c r="M74" s="19">
        <f>SUM(M51:M73)</f>
        <v>8801750</v>
      </c>
      <c r="N74" s="21">
        <f>SUM(N51:N73)</f>
        <v>89232300</v>
      </c>
    </row>
    <row r="75" spans="1:14" ht="4.2" customHeight="1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</row>
    <row r="76" spans="1:14" ht="18">
      <c r="A76" s="2"/>
      <c r="B76" s="2"/>
      <c r="C76" s="2"/>
      <c r="D76" s="2"/>
      <c r="E76" s="2"/>
      <c r="F76" s="3"/>
      <c r="G76" s="3"/>
      <c r="H76" s="3"/>
      <c r="I76" s="3"/>
      <c r="J76" s="3"/>
      <c r="K76" s="3"/>
    </row>
    <row r="77" spans="1:14" ht="18">
      <c r="E77" s="2"/>
      <c r="I77" s="4"/>
    </row>
    <row r="78" spans="1:14">
      <c r="B78" s="17"/>
    </row>
    <row r="79" spans="1:14">
      <c r="B79" s="17"/>
      <c r="C79" s="15"/>
    </row>
    <row r="80" spans="1:14">
      <c r="B80" s="17"/>
    </row>
  </sheetData>
  <mergeCells count="16">
    <mergeCell ref="K47:K48"/>
    <mergeCell ref="C74:E74"/>
    <mergeCell ref="A19:K19"/>
    <mergeCell ref="A39:K39"/>
    <mergeCell ref="A42:K42"/>
    <mergeCell ref="A43:K43"/>
    <mergeCell ref="L47:L48"/>
    <mergeCell ref="A47:A48"/>
    <mergeCell ref="B47:B48"/>
    <mergeCell ref="M47:M48"/>
    <mergeCell ref="N47:N48"/>
    <mergeCell ref="C47:C48"/>
    <mergeCell ref="D47:E47"/>
    <mergeCell ref="F47:H47"/>
    <mergeCell ref="I47:I48"/>
    <mergeCell ref="J47:J48"/>
  </mergeCells>
  <conditionalFormatting sqref="D49">
    <cfRule type="containsText" dxfId="7" priority="1" operator="containsText" text="B">
      <formula>NOT(ISERROR(SEARCH("B",D49)))</formula>
    </cfRule>
    <cfRule type="containsText" dxfId="6" priority="2" operator="containsText" text="S">
      <formula>NOT(ISERROR(SEARCH("S",D49)))</formula>
    </cfRule>
    <cfRule type="containsText" dxfId="5" priority="3" operator="containsText" text="R">
      <formula>NOT(ISERROR(SEARCH("R",D49)))</formula>
    </cfRule>
    <cfRule type="containsText" dxfId="4" priority="4" operator="containsText" text="N">
      <formula>NOT(ISERROR(SEARCH("N",D49)))</formula>
    </cfRule>
  </conditionalFormatting>
  <conditionalFormatting sqref="D51:D73">
    <cfRule type="containsText" dxfId="3" priority="9" operator="containsText" text="B">
      <formula>NOT(ISERROR(SEARCH("B",D51)))</formula>
    </cfRule>
    <cfRule type="containsText" dxfId="2" priority="10" operator="containsText" text="S">
      <formula>NOT(ISERROR(SEARCH("S",D51)))</formula>
    </cfRule>
    <cfRule type="containsText" dxfId="1" priority="11" operator="containsText" text="R">
      <formula>NOT(ISERROR(SEARCH("R",D51)))</formula>
    </cfRule>
    <cfRule type="containsText" dxfId="0" priority="12" operator="containsText" text="N">
      <formula>NOT(ISERROR(SEARCH("N",D51)))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78985-80EA-40DF-A75E-081B80A0553D}">
  <sheetPr codeName="Sheet2"/>
  <dimension ref="B2:J16"/>
  <sheetViews>
    <sheetView workbookViewId="0">
      <selection activeCell="G22" sqref="G22"/>
    </sheetView>
  </sheetViews>
  <sheetFormatPr defaultRowHeight="14.4"/>
  <cols>
    <col min="2" max="2" width="17.33203125" customWidth="1"/>
    <col min="3" max="3" width="20.5546875" customWidth="1"/>
    <col min="4" max="4" width="20.44140625" customWidth="1"/>
    <col min="6" max="6" width="12.21875" customWidth="1"/>
    <col min="7" max="7" width="18.6640625" customWidth="1"/>
    <col min="8" max="8" width="18.5546875" customWidth="1"/>
    <col min="9" max="9" width="18.88671875" customWidth="1"/>
    <col min="10" max="10" width="16.109375" customWidth="1"/>
  </cols>
  <sheetData>
    <row r="2" spans="2:10" ht="18">
      <c r="B2" s="77" t="s">
        <v>58</v>
      </c>
      <c r="C2" s="78"/>
      <c r="D2" s="79"/>
      <c r="F2" s="80" t="s">
        <v>47</v>
      </c>
      <c r="G2" s="80"/>
      <c r="H2" s="80"/>
      <c r="I2" s="80"/>
    </row>
    <row r="3" spans="2:10" ht="18">
      <c r="B3" s="63" t="s">
        <v>49</v>
      </c>
      <c r="C3" s="63" t="s">
        <v>48</v>
      </c>
      <c r="D3" s="63" t="s">
        <v>50</v>
      </c>
      <c r="F3" s="64" t="s">
        <v>3</v>
      </c>
      <c r="G3" s="64" t="s">
        <v>9</v>
      </c>
      <c r="H3" s="64" t="s">
        <v>10</v>
      </c>
      <c r="I3" s="64" t="s">
        <v>71</v>
      </c>
    </row>
    <row r="4" spans="2:10" ht="15.6">
      <c r="B4" s="5" t="s">
        <v>72</v>
      </c>
      <c r="C4" s="6" t="s">
        <v>26</v>
      </c>
      <c r="D4" s="5">
        <v>0.5</v>
      </c>
      <c r="F4" s="9" t="s">
        <v>11</v>
      </c>
      <c r="G4" s="10">
        <v>3000000</v>
      </c>
      <c r="H4" s="10">
        <v>1150000</v>
      </c>
      <c r="I4" s="10">
        <v>12000</v>
      </c>
    </row>
    <row r="5" spans="2:10" ht="15.6">
      <c r="B5" s="5" t="s">
        <v>73</v>
      </c>
      <c r="C5" s="6" t="s">
        <v>29</v>
      </c>
      <c r="D5" s="5">
        <v>0.25</v>
      </c>
      <c r="F5" s="9" t="s">
        <v>24</v>
      </c>
      <c r="G5" s="10">
        <v>3200000</v>
      </c>
      <c r="H5" s="10">
        <v>1350000</v>
      </c>
      <c r="I5" s="10">
        <v>13000</v>
      </c>
    </row>
    <row r="6" spans="2:10" ht="15.6">
      <c r="B6" s="8" t="s">
        <v>74</v>
      </c>
      <c r="C6" s="7" t="s">
        <v>12</v>
      </c>
      <c r="D6" s="8">
        <v>0.15</v>
      </c>
      <c r="F6" s="9" t="s">
        <v>30</v>
      </c>
      <c r="G6" s="10">
        <v>3500000</v>
      </c>
      <c r="H6" s="10">
        <v>1650000</v>
      </c>
      <c r="I6" s="10">
        <v>14000</v>
      </c>
    </row>
    <row r="7" spans="2:10" ht="15.6">
      <c r="B7" s="8" t="s">
        <v>75</v>
      </c>
      <c r="C7" s="7" t="s">
        <v>14</v>
      </c>
      <c r="D7" s="8">
        <v>0</v>
      </c>
      <c r="F7" s="9" t="s">
        <v>39</v>
      </c>
      <c r="G7" s="10">
        <v>3850000</v>
      </c>
      <c r="H7" s="10">
        <v>1850000</v>
      </c>
      <c r="I7" s="10">
        <v>15000</v>
      </c>
    </row>
    <row r="10" spans="2:10" ht="18">
      <c r="B10" s="69" t="s">
        <v>59</v>
      </c>
      <c r="C10" s="70"/>
      <c r="D10" s="71"/>
      <c r="F10" s="81" t="s">
        <v>60</v>
      </c>
      <c r="G10" s="81"/>
      <c r="H10" s="81"/>
      <c r="I10" s="81"/>
      <c r="J10" s="81"/>
    </row>
    <row r="11" spans="2:10" ht="18">
      <c r="B11" s="68" t="s">
        <v>51</v>
      </c>
      <c r="C11" s="68" t="s">
        <v>52</v>
      </c>
      <c r="D11" s="68" t="s">
        <v>48</v>
      </c>
      <c r="F11" s="65" t="s">
        <v>3</v>
      </c>
      <c r="G11" s="66" t="s">
        <v>11</v>
      </c>
      <c r="H11" s="66" t="s">
        <v>24</v>
      </c>
      <c r="I11" s="66" t="s">
        <v>30</v>
      </c>
      <c r="J11" s="66" t="s">
        <v>39</v>
      </c>
    </row>
    <row r="12" spans="2:10" ht="15.6">
      <c r="B12" s="7" t="s">
        <v>53</v>
      </c>
      <c r="C12" s="8">
        <v>0</v>
      </c>
      <c r="D12" s="9" t="s">
        <v>16</v>
      </c>
      <c r="F12" s="67" t="s">
        <v>6</v>
      </c>
      <c r="G12" s="11">
        <v>0.02</v>
      </c>
      <c r="H12" s="11">
        <v>0.03</v>
      </c>
      <c r="I12" s="11">
        <v>0.04</v>
      </c>
      <c r="J12" s="11">
        <v>0.05</v>
      </c>
    </row>
    <row r="13" spans="2:10" ht="15.6">
      <c r="B13" s="7" t="s">
        <v>54</v>
      </c>
      <c r="C13" s="8">
        <v>0.05</v>
      </c>
      <c r="D13" s="9" t="s">
        <v>25</v>
      </c>
    </row>
    <row r="14" spans="2:10" ht="15.6">
      <c r="B14" s="7" t="s">
        <v>55</v>
      </c>
      <c r="C14" s="8">
        <v>0.1</v>
      </c>
      <c r="D14" s="9" t="s">
        <v>23</v>
      </c>
    </row>
    <row r="15" spans="2:10" ht="15.6">
      <c r="B15" s="7" t="s">
        <v>56</v>
      </c>
      <c r="C15" s="8">
        <v>0.15</v>
      </c>
      <c r="D15" s="9" t="s">
        <v>13</v>
      </c>
    </row>
    <row r="16" spans="2:10" ht="15.6">
      <c r="B16" s="7" t="s">
        <v>57</v>
      </c>
      <c r="C16" s="8">
        <v>0.25</v>
      </c>
      <c r="D16" s="9" t="s">
        <v>19</v>
      </c>
    </row>
  </sheetData>
  <mergeCells count="4">
    <mergeCell ref="B2:D2"/>
    <mergeCell ref="B10:D10"/>
    <mergeCell ref="F2:I2"/>
    <mergeCell ref="F10:J1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0BB0C-5324-4B93-94B0-34D336DBE66F}">
  <sheetPr codeName="Sheet4"/>
  <dimension ref="B1:P32"/>
  <sheetViews>
    <sheetView showGridLines="0" workbookViewId="0">
      <selection activeCell="P22" sqref="P22"/>
    </sheetView>
  </sheetViews>
  <sheetFormatPr defaultColWidth="8.88671875" defaultRowHeight="14.4"/>
  <cols>
    <col min="1" max="1" width="5.77734375" style="24" customWidth="1"/>
    <col min="2" max="2" width="10" style="24" customWidth="1"/>
    <col min="3" max="6" width="8.88671875" style="24"/>
    <col min="7" max="7" width="4.33203125" style="24" customWidth="1"/>
    <col min="8" max="8" width="4.21875" style="24" customWidth="1"/>
    <col min="9" max="9" width="8.88671875" style="24"/>
    <col min="10" max="10" width="10.44140625" style="24" customWidth="1"/>
    <col min="11" max="11" width="9.33203125" style="24" customWidth="1"/>
    <col min="12" max="13" width="8.88671875" style="24"/>
    <col min="14" max="14" width="26.44140625" style="24" customWidth="1"/>
    <col min="15" max="16384" width="8.88671875" style="24"/>
  </cols>
  <sheetData>
    <row r="1" spans="7:16">
      <c r="H1" s="23"/>
      <c r="I1" s="23"/>
      <c r="J1" s="23"/>
      <c r="K1" s="23"/>
      <c r="L1" s="23"/>
      <c r="M1" s="23"/>
      <c r="N1" s="23"/>
      <c r="O1" s="23"/>
      <c r="P1" s="23"/>
    </row>
    <row r="2" spans="7:16">
      <c r="H2" s="23"/>
      <c r="I2" s="23"/>
      <c r="J2" s="23"/>
      <c r="K2" s="23"/>
      <c r="L2" s="23"/>
      <c r="M2" s="23"/>
      <c r="N2" s="23"/>
      <c r="O2" s="23"/>
      <c r="P2" s="23"/>
    </row>
    <row r="3" spans="7:16">
      <c r="G3" s="55"/>
      <c r="H3" s="56"/>
      <c r="I3" s="23"/>
      <c r="J3" s="23"/>
      <c r="K3" s="23"/>
      <c r="L3" s="23"/>
      <c r="M3" s="23"/>
      <c r="N3" s="23"/>
      <c r="O3" s="23"/>
      <c r="P3" s="23"/>
    </row>
    <row r="4" spans="7:16">
      <c r="G4" s="55"/>
      <c r="H4" s="56"/>
      <c r="I4" s="23"/>
      <c r="J4" s="23"/>
      <c r="K4" s="23"/>
      <c r="L4" s="23"/>
      <c r="M4" s="23"/>
      <c r="N4" s="23"/>
      <c r="O4" s="23"/>
      <c r="P4" s="23"/>
    </row>
    <row r="5" spans="7:16">
      <c r="G5" s="55"/>
      <c r="H5" s="56"/>
      <c r="I5" s="23"/>
      <c r="J5" s="23"/>
      <c r="K5" s="23"/>
      <c r="L5" s="23"/>
      <c r="M5" s="23"/>
      <c r="N5" s="23"/>
      <c r="O5" s="23"/>
      <c r="P5" s="23"/>
    </row>
    <row r="6" spans="7:16">
      <c r="G6" s="55"/>
      <c r="H6" s="56"/>
      <c r="I6" s="23" t="s">
        <v>76</v>
      </c>
      <c r="J6" s="23"/>
      <c r="K6" s="23"/>
      <c r="L6" s="23"/>
      <c r="M6" s="23"/>
      <c r="N6" s="23"/>
      <c r="O6" s="23"/>
      <c r="P6" s="23"/>
    </row>
    <row r="7" spans="7:16">
      <c r="G7" s="55"/>
      <c r="H7" s="56"/>
      <c r="I7" s="23" t="s">
        <v>77</v>
      </c>
      <c r="J7" s="23"/>
      <c r="K7" s="23"/>
      <c r="L7" s="23"/>
      <c r="M7" s="23"/>
      <c r="N7" s="23"/>
      <c r="O7" s="23"/>
      <c r="P7" s="23"/>
    </row>
    <row r="8" spans="7:16">
      <c r="G8" s="55"/>
      <c r="H8" s="56"/>
      <c r="I8" s="23"/>
      <c r="J8" s="23"/>
      <c r="K8" s="23"/>
      <c r="L8" s="23"/>
      <c r="M8" s="23"/>
      <c r="N8" s="23"/>
      <c r="O8" s="23"/>
      <c r="P8" s="23"/>
    </row>
    <row r="9" spans="7:16">
      <c r="G9" s="55"/>
      <c r="H9" s="56"/>
      <c r="I9" s="23"/>
      <c r="J9" s="23"/>
      <c r="K9" s="23"/>
      <c r="L9" s="23"/>
      <c r="M9" s="23"/>
      <c r="N9" s="23"/>
      <c r="O9" s="23"/>
      <c r="P9" s="23"/>
    </row>
    <row r="10" spans="7:16">
      <c r="G10" s="55"/>
      <c r="H10" s="56"/>
      <c r="I10" s="23" t="s">
        <v>78</v>
      </c>
      <c r="J10" s="23"/>
      <c r="K10" s="23"/>
      <c r="L10" s="23"/>
      <c r="M10" s="23"/>
      <c r="N10" s="23"/>
      <c r="O10" s="23"/>
      <c r="P10" s="23"/>
    </row>
    <row r="11" spans="7:16">
      <c r="G11" s="55"/>
      <c r="H11" s="56"/>
      <c r="I11" s="23"/>
      <c r="J11" s="23"/>
      <c r="K11" s="23"/>
      <c r="L11" s="23"/>
      <c r="M11" s="23"/>
      <c r="N11" s="23"/>
      <c r="O11" s="23"/>
      <c r="P11" s="23"/>
    </row>
    <row r="12" spans="7:16">
      <c r="G12" s="55"/>
      <c r="H12" s="56"/>
      <c r="I12" s="23"/>
      <c r="J12" s="88" t="s">
        <v>79</v>
      </c>
      <c r="K12" s="88"/>
      <c r="L12" s="89" t="s">
        <v>80</v>
      </c>
      <c r="M12" s="89"/>
      <c r="N12" s="23"/>
      <c r="O12" s="23"/>
      <c r="P12" s="23"/>
    </row>
    <row r="13" spans="7:16">
      <c r="G13" s="55"/>
      <c r="H13" s="56"/>
      <c r="I13" s="23"/>
      <c r="J13" s="88" t="s">
        <v>81</v>
      </c>
      <c r="K13" s="88"/>
      <c r="L13" s="25" t="s">
        <v>82</v>
      </c>
      <c r="M13" s="26"/>
      <c r="N13" s="23"/>
      <c r="O13" s="23"/>
      <c r="P13" s="23"/>
    </row>
    <row r="14" spans="7:16">
      <c r="G14" s="55"/>
      <c r="H14" s="56"/>
      <c r="I14" s="23"/>
      <c r="J14" s="88" t="s">
        <v>83</v>
      </c>
      <c r="K14" s="88"/>
      <c r="L14" s="25" t="s">
        <v>84</v>
      </c>
      <c r="M14" s="27"/>
      <c r="N14" s="23"/>
      <c r="O14" s="23"/>
      <c r="P14" s="23"/>
    </row>
    <row r="15" spans="7:16">
      <c r="G15" s="55"/>
      <c r="H15" s="56"/>
      <c r="I15" s="23"/>
      <c r="J15" s="88" t="s">
        <v>85</v>
      </c>
      <c r="K15" s="88"/>
      <c r="L15" s="25" t="s">
        <v>86</v>
      </c>
      <c r="M15" s="27"/>
      <c r="N15" s="23"/>
      <c r="O15" s="23"/>
      <c r="P15" s="23"/>
    </row>
    <row r="16" spans="7:16">
      <c r="G16" s="55"/>
      <c r="H16" s="56"/>
      <c r="I16" s="23"/>
      <c r="J16" s="88" t="s">
        <v>87</v>
      </c>
      <c r="K16" s="88"/>
      <c r="L16" s="25" t="s">
        <v>88</v>
      </c>
      <c r="M16" s="27"/>
      <c r="N16" s="23"/>
      <c r="O16" s="23"/>
      <c r="P16" s="23"/>
    </row>
    <row r="17" spans="2:16" ht="54.6" customHeight="1">
      <c r="B17" s="84" t="s">
        <v>122</v>
      </c>
      <c r="C17" s="84"/>
      <c r="D17" s="84"/>
      <c r="E17" s="84"/>
      <c r="F17" s="85"/>
      <c r="G17" s="57"/>
      <c r="H17" s="56"/>
      <c r="I17" s="23" t="s">
        <v>89</v>
      </c>
      <c r="J17" s="23"/>
      <c r="K17" s="23"/>
      <c r="L17" s="23"/>
      <c r="M17" s="23"/>
      <c r="N17" s="23"/>
      <c r="O17" s="23"/>
      <c r="P17" s="23"/>
    </row>
    <row r="18" spans="2:16" ht="54.6" customHeight="1">
      <c r="B18" s="86" t="s">
        <v>128</v>
      </c>
      <c r="C18" s="86"/>
      <c r="D18" s="86"/>
      <c r="E18" s="86"/>
      <c r="F18" s="87"/>
      <c r="G18" s="58"/>
      <c r="H18" s="56"/>
      <c r="I18" s="59" t="s">
        <v>90</v>
      </c>
      <c r="J18" s="23"/>
      <c r="K18" s="23"/>
      <c r="L18" s="23"/>
      <c r="M18" s="23"/>
      <c r="N18" s="23"/>
      <c r="O18" s="23"/>
      <c r="P18" s="23"/>
    </row>
    <row r="19" spans="2:16">
      <c r="B19" s="60" t="s">
        <v>123</v>
      </c>
      <c r="H19" s="23"/>
      <c r="J19" s="23"/>
      <c r="K19" s="23"/>
      <c r="L19" s="23"/>
      <c r="M19" s="23"/>
      <c r="N19" s="23"/>
      <c r="O19" s="23"/>
      <c r="P19" s="23"/>
    </row>
    <row r="20" spans="2:16">
      <c r="B20" s="61" t="s">
        <v>124</v>
      </c>
      <c r="C20" s="16" t="s">
        <v>125</v>
      </c>
      <c r="H20" s="23"/>
      <c r="J20" s="23"/>
      <c r="K20" s="23"/>
      <c r="L20" s="23"/>
      <c r="M20" s="23"/>
      <c r="N20" s="23"/>
      <c r="O20" s="23"/>
      <c r="P20" s="23"/>
    </row>
    <row r="21" spans="2:16">
      <c r="B21" s="62" t="s">
        <v>126</v>
      </c>
      <c r="C21" s="16" t="s">
        <v>127</v>
      </c>
      <c r="H21" s="23"/>
      <c r="I21" s="23"/>
      <c r="J21" s="23"/>
      <c r="K21" s="23"/>
      <c r="L21" s="23"/>
      <c r="M21" s="23"/>
      <c r="N21" s="23"/>
      <c r="O21" s="23"/>
      <c r="P21" s="23"/>
    </row>
    <row r="22" spans="2:16">
      <c r="H22" s="23"/>
      <c r="I22" s="23"/>
      <c r="J22" s="23"/>
      <c r="K22" s="23"/>
      <c r="L22" s="23"/>
      <c r="M22" s="23"/>
      <c r="N22" s="23"/>
      <c r="O22" s="23"/>
      <c r="P22" s="23"/>
    </row>
    <row r="23" spans="2:16">
      <c r="N23" s="23"/>
      <c r="O23" s="23"/>
      <c r="P23" s="23"/>
    </row>
    <row r="24" spans="2:16">
      <c r="N24" s="23"/>
      <c r="O24" s="23"/>
      <c r="P24" s="23"/>
    </row>
    <row r="25" spans="2:16">
      <c r="B25" s="82"/>
      <c r="C25" s="83"/>
      <c r="D25" s="83"/>
      <c r="E25" s="83"/>
      <c r="F25" s="83"/>
      <c r="G25" s="83"/>
      <c r="H25" s="83"/>
      <c r="I25" s="83"/>
      <c r="N25" s="23"/>
      <c r="O25" s="23"/>
      <c r="P25" s="23"/>
    </row>
    <row r="26" spans="2:16">
      <c r="B26" s="49"/>
      <c r="C26" s="50"/>
      <c r="D26" s="49"/>
      <c r="E26" s="49"/>
      <c r="F26" s="49"/>
      <c r="G26" s="49"/>
      <c r="H26" s="49"/>
      <c r="I26" s="49"/>
    </row>
    <row r="27" spans="2:16">
      <c r="B27" s="49"/>
      <c r="C27" s="49"/>
      <c r="D27" s="51" t="s">
        <v>117</v>
      </c>
      <c r="E27" s="49"/>
      <c r="F27" s="49"/>
      <c r="G27" s="49"/>
      <c r="H27" s="49"/>
      <c r="I27" s="49"/>
    </row>
    <row r="28" spans="2:16">
      <c r="B28" s="49"/>
      <c r="C28" s="49"/>
      <c r="D28" s="52" t="s">
        <v>118</v>
      </c>
      <c r="E28" s="49"/>
      <c r="F28" s="49"/>
      <c r="G28" s="49"/>
      <c r="H28" s="49"/>
      <c r="I28" s="49"/>
    </row>
    <row r="29" spans="2:16">
      <c r="B29" s="49"/>
      <c r="C29" s="49"/>
      <c r="D29" s="54" t="s">
        <v>120</v>
      </c>
      <c r="E29" s="49"/>
      <c r="F29" s="49"/>
      <c r="G29" s="49"/>
      <c r="H29" s="49"/>
      <c r="I29" s="49"/>
    </row>
    <row r="30" spans="2:16">
      <c r="B30" s="49"/>
      <c r="C30" s="49"/>
      <c r="D30" s="49"/>
      <c r="E30" s="49"/>
      <c r="F30" s="49"/>
      <c r="G30" s="49"/>
      <c r="H30" s="49"/>
      <c r="I30" s="49"/>
    </row>
    <row r="31" spans="2:16">
      <c r="B31" s="49"/>
      <c r="C31" s="49"/>
      <c r="D31" s="49"/>
      <c r="E31" s="49"/>
      <c r="F31" s="49"/>
      <c r="G31" s="49"/>
      <c r="H31" s="49"/>
      <c r="I31" s="49"/>
    </row>
    <row r="32" spans="2:16">
      <c r="B32" s="82"/>
      <c r="C32" s="83"/>
      <c r="D32" s="83"/>
      <c r="E32" s="83"/>
      <c r="F32" s="83"/>
      <c r="G32" s="83"/>
      <c r="H32" s="83"/>
      <c r="I32" s="83"/>
    </row>
  </sheetData>
  <mergeCells count="10">
    <mergeCell ref="L12:M12"/>
    <mergeCell ref="J13:K13"/>
    <mergeCell ref="J14:K14"/>
    <mergeCell ref="J15:K15"/>
    <mergeCell ref="J16:K16"/>
    <mergeCell ref="B25:I25"/>
    <mergeCell ref="B32:I32"/>
    <mergeCell ref="B17:F17"/>
    <mergeCell ref="B18:F18"/>
    <mergeCell ref="J12:K12"/>
  </mergeCells>
  <hyperlinks>
    <hyperlink ref="I18" r:id="rId1" xr:uid="{6EE8ECDD-1B31-4CE3-8A49-BC3C9FF106C2}"/>
    <hyperlink ref="C21" r:id="rId2" xr:uid="{E16B33FC-D6EE-4C16-8B41-2612709A15A3}"/>
    <hyperlink ref="C20" r:id="rId3" xr:uid="{B0A9BBD7-25EB-45BE-A5D0-F1C28BB2101A}"/>
    <hyperlink ref="D29" r:id="rId4" xr:uid="{D0E57A68-C7F6-40E3-8C42-39B68675E484}"/>
  </hyperlinks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9B3B7-8B26-4E11-B88C-8F399913BE1F}">
  <sheetPr codeName="Sheet3"/>
  <dimension ref="A1:AF68"/>
  <sheetViews>
    <sheetView workbookViewId="0">
      <selection activeCell="Q24" sqref="Q24"/>
    </sheetView>
  </sheetViews>
  <sheetFormatPr defaultRowHeight="14.4"/>
  <cols>
    <col min="3" max="3" width="11" customWidth="1"/>
    <col min="4" max="4" width="11.6640625" customWidth="1"/>
    <col min="5" max="6" width="10.33203125" customWidth="1"/>
    <col min="7" max="7" width="12.77734375" customWidth="1"/>
    <col min="8" max="8" width="11.44140625" customWidth="1"/>
    <col min="9" max="9" width="12.33203125" customWidth="1"/>
    <col min="10" max="10" width="11.33203125" customWidth="1"/>
    <col min="11" max="11" width="11.5546875" customWidth="1"/>
    <col min="12" max="12" width="12.21875" customWidth="1"/>
    <col min="13" max="13" width="12.88671875" customWidth="1"/>
    <col min="23" max="23" width="39.77734375" customWidth="1"/>
  </cols>
  <sheetData>
    <row r="1" spans="1:32">
      <c r="A1" t="s">
        <v>61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W1">
        <v>1</v>
      </c>
      <c r="X1">
        <v>2</v>
      </c>
      <c r="Y1">
        <v>3</v>
      </c>
      <c r="Z1">
        <v>4</v>
      </c>
      <c r="AA1">
        <v>5</v>
      </c>
      <c r="AB1">
        <v>6</v>
      </c>
      <c r="AC1">
        <v>7</v>
      </c>
      <c r="AD1">
        <v>8</v>
      </c>
      <c r="AE1">
        <v>9</v>
      </c>
      <c r="AF1">
        <v>10</v>
      </c>
    </row>
    <row r="2" spans="1:32">
      <c r="A2" t="s">
        <v>121</v>
      </c>
      <c r="C2">
        <v>1</v>
      </c>
      <c r="D2">
        <f>'XL-Test'!F51</f>
        <v>3200000</v>
      </c>
      <c r="E2">
        <f>'XL-Test'!G51</f>
        <v>1350000</v>
      </c>
      <c r="F2">
        <f>'XL-Test'!H51</f>
        <v>13000</v>
      </c>
      <c r="G2">
        <f>'XL-Test'!I51</f>
        <v>4563000</v>
      </c>
      <c r="H2">
        <f>'XL-Test'!J51</f>
        <v>0.03</v>
      </c>
      <c r="I2">
        <f>'XL-Test'!K51</f>
        <v>4426110</v>
      </c>
      <c r="J2">
        <f>'XL-Test'!L51</f>
        <v>0</v>
      </c>
      <c r="K2">
        <f>'XL-Test'!M51</f>
        <v>1140750</v>
      </c>
      <c r="L2">
        <f>'XL-Test'!N51</f>
        <v>3285360</v>
      </c>
      <c r="M2">
        <f>'XL-Test'!F74</f>
        <v>79350000</v>
      </c>
      <c r="V2">
        <v>1</v>
      </c>
      <c r="W2" t="str">
        <f ca="1">_xlfn.FORMULATEXT('XL-Test'!F51)</f>
        <v>=VLOOKUP(B51,DATA!$F$3:$I$7,2,)</v>
      </c>
      <c r="X2" t="str">
        <f ca="1">_xlfn.FORMULATEXT('XL-Test'!G51)</f>
        <v>=VLOOKUP(B51,DATA!$F$3:$I$7,3,)</v>
      </c>
      <c r="Y2" t="str">
        <f ca="1">_xlfn.FORMULATEXT('XL-Test'!H51)</f>
        <v>=VLOOKUP(B51,DATA!$F$3:$I$7,4,)</v>
      </c>
      <c r="Z2" t="str">
        <f ca="1">_xlfn.FORMULATEXT('XL-Test'!I51)</f>
        <v>='XL-Test'!F51+'XL-Test'!G51+'XL-Test'!H51</v>
      </c>
      <c r="AA2" t="str">
        <f ca="1">_xlfn.FORMULATEXT('XL-Test'!J51)</f>
        <v>=HLOOKUP(B51,DATA!$F$11:$J$12,2,)</v>
      </c>
      <c r="AB2" t="str">
        <f ca="1">_xlfn.FORMULATEXT('XL-Test'!K51)</f>
        <v>=I51-(I51*J51)</v>
      </c>
      <c r="AC2" t="str">
        <f ca="1">_xlfn.FORMULATEXT('XL-Test'!L51)</f>
        <v>=VLOOKUP(D51,DATA!$C$3:$D$7,2,)*I51</v>
      </c>
      <c r="AD2" t="str">
        <f ca="1">_xlfn.FORMULATEXT('XL-Test'!M51)</f>
        <v>=XLOOKUP(E51,DATA!$D$11:$D$16,DATA!$C$11:$C$16)*I51</v>
      </c>
      <c r="AE2" t="str">
        <f ca="1">_xlfn.FORMULATEXT('XL-Test'!N51)</f>
        <v>=K51-L51-M51</v>
      </c>
    </row>
    <row r="3" spans="1:32">
      <c r="C3">
        <v>2</v>
      </c>
      <c r="D3">
        <f>'XL-Test'!F54</f>
        <v>3850000</v>
      </c>
      <c r="E3">
        <f>'XL-Test'!G54</f>
        <v>1850000</v>
      </c>
      <c r="F3">
        <f>'XL-Test'!H54</f>
        <v>15000</v>
      </c>
      <c r="G3">
        <f>'XL-Test'!I54</f>
        <v>5715000</v>
      </c>
      <c r="H3">
        <f>'XL-Test'!J54</f>
        <v>0.05</v>
      </c>
      <c r="I3">
        <f>'XL-Test'!K54</f>
        <v>5429250</v>
      </c>
      <c r="J3">
        <f>'XL-Test'!L54</f>
        <v>0</v>
      </c>
      <c r="K3">
        <f>'XL-Test'!M54</f>
        <v>0</v>
      </c>
      <c r="L3">
        <f>'XL-Test'!N54</f>
        <v>5429250</v>
      </c>
      <c r="M3">
        <f>'XL-Test'!G74</f>
        <v>35750000</v>
      </c>
      <c r="V3">
        <v>2</v>
      </c>
      <c r="W3" t="str">
        <f ca="1">_xlfn.FORMULATEXT('XL-Test'!G51)</f>
        <v>=VLOOKUP(B51,DATA!$F$3:$I$7,3,)</v>
      </c>
    </row>
    <row r="4" spans="1:32">
      <c r="C4">
        <v>3</v>
      </c>
      <c r="D4">
        <f>'XL-Test'!F58</f>
        <v>3850000</v>
      </c>
      <c r="E4">
        <f>'XL-Test'!G58</f>
        <v>1850000</v>
      </c>
      <c r="F4">
        <f>'XL-Test'!H58</f>
        <v>15000</v>
      </c>
      <c r="G4">
        <f>'XL-Test'!I58</f>
        <v>5715000</v>
      </c>
      <c r="H4">
        <f>'XL-Test'!J58</f>
        <v>0.05</v>
      </c>
      <c r="I4">
        <f>'XL-Test'!K58</f>
        <v>5429250</v>
      </c>
      <c r="J4">
        <f>'XL-Test'!L58</f>
        <v>1428750</v>
      </c>
      <c r="K4">
        <f>'XL-Test'!M58</f>
        <v>285750</v>
      </c>
      <c r="L4">
        <f>'XL-Test'!N58</f>
        <v>3714750</v>
      </c>
      <c r="M4">
        <f>'XL-Test'!H74</f>
        <v>315000</v>
      </c>
      <c r="V4">
        <v>3</v>
      </c>
      <c r="W4" t="str">
        <f ca="1">_xlfn.FORMULATEXT('XL-Test'!H51)</f>
        <v>=VLOOKUP(B51,DATA!$F$3:$I$7,4,)</v>
      </c>
    </row>
    <row r="5" spans="1:32">
      <c r="C5">
        <v>4</v>
      </c>
      <c r="D5">
        <f>'XL-Test'!F60</f>
        <v>3850000</v>
      </c>
      <c r="E5">
        <f>'XL-Test'!G60</f>
        <v>1850000</v>
      </c>
      <c r="F5">
        <f>'XL-Test'!H60</f>
        <v>15000</v>
      </c>
      <c r="G5">
        <f>'XL-Test'!I60</f>
        <v>5715000</v>
      </c>
      <c r="H5">
        <f>'XL-Test'!J60</f>
        <v>0.05</v>
      </c>
      <c r="I5">
        <f>'XL-Test'!K60</f>
        <v>5429250</v>
      </c>
      <c r="J5">
        <f>'XL-Test'!L60</f>
        <v>857250</v>
      </c>
      <c r="K5">
        <f>'XL-Test'!M60</f>
        <v>285750</v>
      </c>
      <c r="L5">
        <f>'XL-Test'!N60</f>
        <v>4286250</v>
      </c>
      <c r="M5">
        <f>'XL-Test'!I74</f>
        <v>115415000</v>
      </c>
      <c r="V5">
        <v>4</v>
      </c>
      <c r="W5" t="str">
        <f ca="1">_xlfn.FORMULATEXT('XL-Test'!I51)</f>
        <v>='XL-Test'!F51+'XL-Test'!G51+'XL-Test'!H51</v>
      </c>
    </row>
    <row r="6" spans="1:32">
      <c r="C6">
        <v>5</v>
      </c>
      <c r="D6">
        <f>'XL-Test'!F61</f>
        <v>3000000</v>
      </c>
      <c r="E6">
        <f>'XL-Test'!G61</f>
        <v>1150000</v>
      </c>
      <c r="F6">
        <f>'XL-Test'!H61</f>
        <v>12000</v>
      </c>
      <c r="G6">
        <f>'XL-Test'!I61</f>
        <v>4162000</v>
      </c>
      <c r="H6">
        <f>'XL-Test'!J61</f>
        <v>0.02</v>
      </c>
      <c r="I6">
        <f>'XL-Test'!K61</f>
        <v>4078760</v>
      </c>
      <c r="J6">
        <f>'XL-Test'!L61</f>
        <v>624300</v>
      </c>
      <c r="K6">
        <f>'XL-Test'!M61</f>
        <v>0</v>
      </c>
      <c r="L6">
        <f>'XL-Test'!N61</f>
        <v>3454460</v>
      </c>
      <c r="M6">
        <f>'XL-Test'!J74</f>
        <v>3.695652173913045E-2</v>
      </c>
      <c r="V6">
        <v>5</v>
      </c>
      <c r="W6" t="str">
        <f ca="1">_xlfn.FORMULATEXT('XL-Test'!J51)</f>
        <v>=HLOOKUP(B51,DATA!$F$11:$J$12,2,)</v>
      </c>
    </row>
    <row r="7" spans="1:32">
      <c r="C7">
        <v>6</v>
      </c>
      <c r="D7">
        <f>'XL-Test'!F64</f>
        <v>3500000</v>
      </c>
      <c r="E7">
        <f>'XL-Test'!G64</f>
        <v>1650000</v>
      </c>
      <c r="F7">
        <f>'XL-Test'!H64</f>
        <v>14000</v>
      </c>
      <c r="G7">
        <f>'XL-Test'!I64</f>
        <v>5164000</v>
      </c>
      <c r="H7">
        <f>'XL-Test'!J64</f>
        <v>0.04</v>
      </c>
      <c r="I7">
        <f>'XL-Test'!K64</f>
        <v>4957440</v>
      </c>
      <c r="J7">
        <f>'XL-Test'!L64</f>
        <v>1291000</v>
      </c>
      <c r="K7">
        <f>'XL-Test'!M64</f>
        <v>258200</v>
      </c>
      <c r="L7">
        <f>'XL-Test'!N64</f>
        <v>3408240</v>
      </c>
      <c r="M7">
        <f>'XL-Test'!K74</f>
        <v>110989050</v>
      </c>
      <c r="V7">
        <v>6</v>
      </c>
      <c r="W7" t="str">
        <f ca="1">_xlfn.FORMULATEXT('XL-Test'!K51)</f>
        <v>=I51-(I51*J51)</v>
      </c>
    </row>
    <row r="8" spans="1:32">
      <c r="C8">
        <v>7</v>
      </c>
      <c r="D8">
        <f>'XL-Test'!F65</f>
        <v>3200000</v>
      </c>
      <c r="E8">
        <f>'XL-Test'!G65</f>
        <v>1350000</v>
      </c>
      <c r="F8">
        <f>'XL-Test'!H65</f>
        <v>13000</v>
      </c>
      <c r="G8">
        <f>'XL-Test'!I65</f>
        <v>4563000</v>
      </c>
      <c r="H8">
        <f>'XL-Test'!J65</f>
        <v>0.03</v>
      </c>
      <c r="I8">
        <f>'XL-Test'!K65</f>
        <v>4426110</v>
      </c>
      <c r="J8">
        <f>'XL-Test'!L65</f>
        <v>0</v>
      </c>
      <c r="K8">
        <f>'XL-Test'!M65</f>
        <v>684450</v>
      </c>
      <c r="L8">
        <f>'XL-Test'!N65</f>
        <v>3741660</v>
      </c>
      <c r="M8">
        <f>'XL-Test'!L74</f>
        <v>12955000</v>
      </c>
      <c r="V8">
        <v>7</v>
      </c>
      <c r="W8" t="str">
        <f ca="1">_xlfn.FORMULATEXT('XL-Test'!L51)</f>
        <v>=VLOOKUP(D51,DATA!$C$3:$D$7,2,)*I51</v>
      </c>
    </row>
    <row r="9" spans="1:32">
      <c r="C9">
        <v>8</v>
      </c>
      <c r="D9">
        <f>'XL-Test'!F69</f>
        <v>3500000</v>
      </c>
      <c r="E9">
        <f>'XL-Test'!G69</f>
        <v>1650000</v>
      </c>
      <c r="F9">
        <f>'XL-Test'!H69</f>
        <v>14000</v>
      </c>
      <c r="G9">
        <f>'XL-Test'!I69</f>
        <v>5164000</v>
      </c>
      <c r="H9">
        <f>'XL-Test'!J69</f>
        <v>0.04</v>
      </c>
      <c r="I9">
        <f>'XL-Test'!K69</f>
        <v>4957440</v>
      </c>
      <c r="J9">
        <f>'XL-Test'!L69</f>
        <v>0</v>
      </c>
      <c r="K9">
        <f>'XL-Test'!M69</f>
        <v>0</v>
      </c>
      <c r="L9">
        <f>'XL-Test'!N69</f>
        <v>4957440</v>
      </c>
      <c r="M9">
        <f>'XL-Test'!M74</f>
        <v>8801750</v>
      </c>
      <c r="V9">
        <v>8</v>
      </c>
      <c r="W9" t="str">
        <f ca="1">_xlfn.FORMULATEXT('XL-Test'!M51)</f>
        <v>=XLOOKUP(E51,DATA!$D$11:$D$16,DATA!$C$11:$C$16)*I51</v>
      </c>
    </row>
    <row r="10" spans="1:32">
      <c r="C10">
        <v>9</v>
      </c>
      <c r="D10">
        <f>'XL-Test'!F71</f>
        <v>3850000</v>
      </c>
      <c r="E10">
        <f>'XL-Test'!G71</f>
        <v>1850000</v>
      </c>
      <c r="F10">
        <f>'XL-Test'!H71</f>
        <v>15000</v>
      </c>
      <c r="G10">
        <f>'XL-Test'!I71</f>
        <v>5715000</v>
      </c>
      <c r="H10">
        <f>'XL-Test'!J71</f>
        <v>0.05</v>
      </c>
      <c r="I10">
        <f>'XL-Test'!K71</f>
        <v>5429250</v>
      </c>
      <c r="J10">
        <f>'XL-Test'!L71</f>
        <v>2857500</v>
      </c>
      <c r="K10">
        <f>'XL-Test'!M71</f>
        <v>1428750</v>
      </c>
      <c r="L10">
        <f>'XL-Test'!N71</f>
        <v>1143000</v>
      </c>
      <c r="M10">
        <f>'XL-Test'!N74</f>
        <v>89232300</v>
      </c>
      <c r="V10">
        <v>9</v>
      </c>
      <c r="W10" t="str">
        <f ca="1">_xlfn.FORMULATEXT('XL-Test'!N51)</f>
        <v>=K51-L51-M51</v>
      </c>
    </row>
    <row r="11" spans="1:32">
      <c r="C11">
        <v>10</v>
      </c>
      <c r="D11">
        <f>'XL-Test'!F73</f>
        <v>3500000</v>
      </c>
      <c r="E11">
        <f>'XL-Test'!G73</f>
        <v>1650000</v>
      </c>
      <c r="F11">
        <f>'XL-Test'!H73</f>
        <v>14000</v>
      </c>
      <c r="G11">
        <f>'XL-Test'!I73</f>
        <v>5164000</v>
      </c>
      <c r="H11">
        <f>'XL-Test'!J73</f>
        <v>0.04</v>
      </c>
      <c r="I11">
        <f>'XL-Test'!K73</f>
        <v>4957440</v>
      </c>
      <c r="J11">
        <f>'XL-Test'!L73</f>
        <v>0</v>
      </c>
      <c r="K11">
        <f>'XL-Test'!M73</f>
        <v>0</v>
      </c>
      <c r="L11">
        <f>'XL-Test'!N73</f>
        <v>4957440</v>
      </c>
      <c r="V11">
        <v>10</v>
      </c>
    </row>
    <row r="12" spans="1:32">
      <c r="D12">
        <f>SUM('XL-Test'!F51:F73)</f>
        <v>79350000</v>
      </c>
      <c r="E12">
        <f>SUM('XL-Test'!G51:G73)</f>
        <v>35750000</v>
      </c>
      <c r="F12">
        <f>SUM('XL-Test'!H51:H73)</f>
        <v>315000</v>
      </c>
      <c r="G12">
        <f>SUM('XL-Test'!I51:I73)</f>
        <v>115415000</v>
      </c>
      <c r="H12">
        <f>SUM('XL-Test'!J51:J73)</f>
        <v>0.85000000000000031</v>
      </c>
      <c r="I12">
        <f>SUM('XL-Test'!K51:K73)</f>
        <v>110989050</v>
      </c>
      <c r="J12">
        <f>SUM('XL-Test'!L51:L73)</f>
        <v>12955000</v>
      </c>
      <c r="K12">
        <f>SUM('XL-Test'!M51:M73)</f>
        <v>8801750</v>
      </c>
      <c r="L12">
        <f>SUM('XL-Test'!N51:N73)</f>
        <v>89232300</v>
      </c>
      <c r="M12">
        <f>SUM('XL-Test'!F74:N74)</f>
        <v>452808100.03695655</v>
      </c>
      <c r="T12" t="b">
        <f ca="1">ISNUMBER(FIND("SUM",W12))</f>
        <v>1</v>
      </c>
      <c r="U12" t="b">
        <f ca="1">AND(ISNUMBER(FIND("=",W12)),ISNUMBER(FIND("(",W12)),ISNUMBER(FIND(":",W12)))</f>
        <v>1</v>
      </c>
      <c r="V12">
        <v>1</v>
      </c>
      <c r="W12" t="str">
        <f ca="1">_xlfn.FORMULATEXT('XL-Test'!F74)</f>
        <v>=SUM(F51:F73)</v>
      </c>
    </row>
    <row r="13" spans="1:32">
      <c r="D13">
        <f>SUM(D2:D12)</f>
        <v>114650000</v>
      </c>
      <c r="E13">
        <f t="shared" ref="E13:M13" si="0">SUM(E2:E12)</f>
        <v>51950000</v>
      </c>
      <c r="F13">
        <f t="shared" si="0"/>
        <v>455000</v>
      </c>
      <c r="G13">
        <f t="shared" si="0"/>
        <v>167055000</v>
      </c>
      <c r="H13">
        <f t="shared" si="0"/>
        <v>1.2500000000000002</v>
      </c>
      <c r="I13">
        <f t="shared" si="0"/>
        <v>160509350</v>
      </c>
      <c r="J13">
        <f t="shared" si="0"/>
        <v>20013800</v>
      </c>
      <c r="K13">
        <f t="shared" si="0"/>
        <v>12885400</v>
      </c>
      <c r="L13">
        <f t="shared" si="0"/>
        <v>127610150</v>
      </c>
      <c r="M13">
        <f t="shared" si="0"/>
        <v>905616200.0739131</v>
      </c>
      <c r="T13" t="b">
        <f ca="1">ISNUMBER(FIND("SUM",W13))</f>
        <v>1</v>
      </c>
      <c r="U13" t="b">
        <f t="shared" ref="U13:U20" ca="1" si="1">AND(ISNUMBER(FIND("=",W13)),ISNUMBER(FIND("(",W13)),ISNUMBER(FIND(":",W13)))</f>
        <v>1</v>
      </c>
      <c r="V13">
        <v>2</v>
      </c>
      <c r="W13" t="str">
        <f ca="1">_xlfn.FORMULATEXT('XL-Test'!G74)</f>
        <v>=SUM(G51:G73)</v>
      </c>
    </row>
    <row r="14" spans="1:32">
      <c r="T14" t="b">
        <f ca="1">ISNUMBER(FIND("SUM",W14))</f>
        <v>1</v>
      </c>
      <c r="U14" t="b">
        <f t="shared" ca="1" si="1"/>
        <v>1</v>
      </c>
      <c r="V14">
        <v>3</v>
      </c>
      <c r="W14" t="str">
        <f ca="1">_xlfn.FORMULATEXT('XL-Test'!H74)</f>
        <v>=SUM(H51:H73)</v>
      </c>
    </row>
    <row r="15" spans="1:32">
      <c r="C15" t="s">
        <v>62</v>
      </c>
      <c r="D15">
        <f>D13/1000</f>
        <v>114650</v>
      </c>
      <c r="E15">
        <f t="shared" ref="E15:I15" si="2">E13/1000</f>
        <v>51950</v>
      </c>
      <c r="F15">
        <f t="shared" si="2"/>
        <v>455</v>
      </c>
      <c r="G15">
        <f t="shared" si="2"/>
        <v>167055</v>
      </c>
      <c r="H15">
        <f>H13*1000</f>
        <v>1250.0000000000002</v>
      </c>
      <c r="I15">
        <f t="shared" si="2"/>
        <v>160509.35</v>
      </c>
      <c r="J15">
        <f>J13/100</f>
        <v>200138</v>
      </c>
      <c r="K15">
        <f>K13/100</f>
        <v>128854</v>
      </c>
      <c r="L15">
        <f>L13/100</f>
        <v>1276101.5</v>
      </c>
      <c r="M15">
        <f>INT(SUM(M2:M5,M7:M12)/100+(M6*1000)+LEFT(M8,4)+LEFT(M9,4)+LEFT(M10,4))</f>
        <v>9075217</v>
      </c>
      <c r="T15" t="b">
        <f ca="1">ISNUMBER(FIND("SUM",W15))</f>
        <v>1</v>
      </c>
      <c r="U15" t="b">
        <f t="shared" ca="1" si="1"/>
        <v>1</v>
      </c>
      <c r="V15">
        <v>4</v>
      </c>
      <c r="W15" t="str">
        <f ca="1">_xlfn.FORMULATEXT('XL-Test'!I74)</f>
        <v>=SUM(I51:I73)</v>
      </c>
    </row>
    <row r="16" spans="1:32">
      <c r="B16" t="str">
        <f>DEC2HEX(D15)</f>
        <v>1BFDA</v>
      </c>
      <c r="D16" t="str">
        <f ca="1">IFERROR(DEC2HEX(IF(AND(OR(D2=0,D2=""),NOT(D22)),D17,D15)),"EEEE")</f>
        <v>1BFDA</v>
      </c>
      <c r="E16" t="str">
        <f t="shared" ref="E16:M16" ca="1" si="3">IFERROR(DEC2HEX(IF(AND(OR(E2=0,E2=""),NOT(E22)),E17,E15)),"EEEE")</f>
        <v>CAEE</v>
      </c>
      <c r="F16" t="str">
        <f t="shared" ca="1" si="3"/>
        <v>1C7</v>
      </c>
      <c r="G16" t="str">
        <f t="shared" ca="1" si="3"/>
        <v>28C8F</v>
      </c>
      <c r="H16" t="str">
        <f t="shared" ca="1" si="3"/>
        <v>4E2</v>
      </c>
      <c r="I16" t="str">
        <f t="shared" ca="1" si="3"/>
        <v>272FD</v>
      </c>
      <c r="J16" t="str">
        <f t="shared" ca="1" si="3"/>
        <v>30DCA</v>
      </c>
      <c r="K16" t="str">
        <f t="shared" ca="1" si="3"/>
        <v>1F756</v>
      </c>
      <c r="L16" t="str">
        <f t="shared" ca="1" si="3"/>
        <v>1378C5</v>
      </c>
      <c r="M16" t="str">
        <f t="shared" ca="1" si="3"/>
        <v>8A7A11</v>
      </c>
      <c r="T16" t="b">
        <f ca="1">ISNUMBER(FIND("AVE",W16))</f>
        <v>1</v>
      </c>
      <c r="U16" t="b">
        <f t="shared" ca="1" si="1"/>
        <v>1</v>
      </c>
      <c r="V16">
        <v>5</v>
      </c>
      <c r="W16" t="str">
        <f ca="1">_xlfn.FORMULATEXT('XL-Test'!J74)</f>
        <v>=AVERAGE(J51:J73)</v>
      </c>
    </row>
    <row r="17" spans="2:23">
      <c r="B17" t="str">
        <f>DEC2HEX(D17)</f>
        <v>2F1D</v>
      </c>
      <c r="C17" t="s">
        <v>63</v>
      </c>
      <c r="D17">
        <v>12061</v>
      </c>
      <c r="E17">
        <v>94879</v>
      </c>
      <c r="F17">
        <v>87032</v>
      </c>
      <c r="G17">
        <v>11186</v>
      </c>
      <c r="H17">
        <v>76391</v>
      </c>
      <c r="I17">
        <v>59777</v>
      </c>
      <c r="J17">
        <v>13855</v>
      </c>
      <c r="K17">
        <v>67307</v>
      </c>
      <c r="L17">
        <v>47761</v>
      </c>
      <c r="M17">
        <v>52661</v>
      </c>
      <c r="T17" t="b">
        <f ca="1">ISNUMBER(FIND("SUM",W17))</f>
        <v>1</v>
      </c>
      <c r="U17" t="b">
        <f t="shared" ca="1" si="1"/>
        <v>1</v>
      </c>
      <c r="V17">
        <v>6</v>
      </c>
      <c r="W17" t="str">
        <f ca="1">_xlfn.FORMULATEXT('XL-Test'!K74)</f>
        <v>=SUM(K51:K73)</v>
      </c>
    </row>
    <row r="18" spans="2:23">
      <c r="T18" t="b">
        <f ca="1">ISNUMBER(FIND("SUM",W18))</f>
        <v>1</v>
      </c>
      <c r="U18" t="b">
        <f t="shared" ca="1" si="1"/>
        <v>1</v>
      </c>
      <c r="V18">
        <v>7</v>
      </c>
      <c r="W18" t="str">
        <f ca="1">_xlfn.FORMULATEXT('XL-Test'!L74)</f>
        <v>=SUM(L51:L73)</v>
      </c>
    </row>
    <row r="19" spans="2:23">
      <c r="C19" t="b">
        <v>1</v>
      </c>
      <c r="D19" t="str">
        <f>DEC2HEX(HEX2DEC(LEFT(DEC2HEX(D17),2))+COLUMN())</f>
        <v>33</v>
      </c>
      <c r="E19" t="str">
        <f t="shared" ref="E19:M19" si="4">DEC2HEX(HEX2DEC(LEFT(DEC2HEX(E17),2))+COLUMN())</f>
        <v>1C</v>
      </c>
      <c r="F19" t="str">
        <f t="shared" si="4"/>
        <v>1B</v>
      </c>
      <c r="G19" t="str">
        <f t="shared" si="4"/>
        <v>32</v>
      </c>
      <c r="H19" t="str">
        <f t="shared" si="4"/>
        <v>1A</v>
      </c>
      <c r="I19" t="str">
        <f t="shared" si="4"/>
        <v>F2</v>
      </c>
      <c r="J19" t="str">
        <f t="shared" si="4"/>
        <v>40</v>
      </c>
      <c r="K19" t="str">
        <f t="shared" si="4"/>
        <v>1B</v>
      </c>
      <c r="L19" t="str">
        <f t="shared" si="4"/>
        <v>C6</v>
      </c>
      <c r="M19" t="str">
        <f t="shared" si="4"/>
        <v>DA</v>
      </c>
      <c r="T19" t="b">
        <f ca="1">ISNUMBER(FIND("SUM",W19))</f>
        <v>1</v>
      </c>
      <c r="U19" t="b">
        <f t="shared" ca="1" si="1"/>
        <v>1</v>
      </c>
      <c r="V19">
        <v>8</v>
      </c>
      <c r="W19" t="str">
        <f ca="1">_xlfn.FORMULATEXT('XL-Test'!M74)</f>
        <v>=SUM(M51:M73)</v>
      </c>
    </row>
    <row r="20" spans="2:23">
      <c r="C20" t="b">
        <v>0</v>
      </c>
      <c r="D20" t="str">
        <f>DEC2HEX(HEX2DEC(RIGHT(DEC2HEX(D17),2))+COLUMN())</f>
        <v>21</v>
      </c>
      <c r="E20" t="str">
        <f t="shared" ref="E20:M20" si="5">DEC2HEX(HEX2DEC(RIGHT(DEC2HEX(E17),2))+COLUMN())</f>
        <v>A4</v>
      </c>
      <c r="F20" t="str">
        <f t="shared" si="5"/>
        <v>FE</v>
      </c>
      <c r="G20" t="str">
        <f t="shared" si="5"/>
        <v>B9</v>
      </c>
      <c r="H20" t="str">
        <f t="shared" si="5"/>
        <v>6F</v>
      </c>
      <c r="I20" t="str">
        <f t="shared" si="5"/>
        <v>8A</v>
      </c>
      <c r="J20" t="str">
        <f t="shared" si="5"/>
        <v>29</v>
      </c>
      <c r="K20" t="str">
        <f t="shared" si="5"/>
        <v>F6</v>
      </c>
      <c r="L20" t="str">
        <f t="shared" si="5"/>
        <v>9D</v>
      </c>
      <c r="M20" t="str">
        <f t="shared" si="5"/>
        <v>C2</v>
      </c>
      <c r="T20" t="b">
        <f ca="1">ISNUMBER(FIND("SUM",W20))</f>
        <v>1</v>
      </c>
      <c r="U20" t="b">
        <f t="shared" ca="1" si="1"/>
        <v>1</v>
      </c>
      <c r="V20">
        <v>9</v>
      </c>
      <c r="W20" t="str">
        <f ca="1">_xlfn.FORMULATEXT('XL-Test'!N74)</f>
        <v>=SUM(N51:N73)</v>
      </c>
    </row>
    <row r="22" spans="2:23">
      <c r="C22" t="s">
        <v>64</v>
      </c>
      <c r="D22" t="b">
        <f ca="1">AND(ISNUMBER(FIND("=",W2)),ISNUMBER(FIND("(",W2)),ISNUMBER(FIND(":",W2)),D68)</f>
        <v>1</v>
      </c>
      <c r="E22" t="b">
        <f ca="1">AND(ISNUMBER(FIND("=",X2)),ISNUMBER(FIND("(",X2)),ISNUMBER(FIND(":",X2)),E68)</f>
        <v>1</v>
      </c>
      <c r="F22" t="b">
        <f ca="1">AND(ISNUMBER(FIND("=",Y2)),ISNUMBER(FIND("(",Y2)),ISNUMBER(FIND(":",Y2)),F68)</f>
        <v>1</v>
      </c>
      <c r="G22" t="b">
        <f ca="1">AND(ISNUMBER(FIND("=",Z2)),G68)</f>
        <v>1</v>
      </c>
      <c r="H22" t="b">
        <f ca="1">AND(ISNUMBER(FIND("=",AA2)),ISNUMBER(FIND("(",AA2)),ISNUMBER(FIND(":",AA2)),H68)</f>
        <v>1</v>
      </c>
      <c r="I22" t="b">
        <f ca="1">AND(ISNUMBER(FIND("=",AB2)),I68)</f>
        <v>1</v>
      </c>
      <c r="J22" t="b">
        <f ca="1">AND(ISNUMBER(FIND("=",AC2)),ISNUMBER(FIND("(",AC2)),J68)</f>
        <v>1</v>
      </c>
      <c r="K22" t="b">
        <f ca="1">AND(ISNUMBER(FIND("=",AD2)),ISNUMBER(FIND("(",AD2)),K68)</f>
        <v>1</v>
      </c>
      <c r="L22" t="b">
        <f ca="1">AND(ISNUMBER(FIND("=",AE2)),L68)</f>
        <v>1</v>
      </c>
      <c r="M22" t="b">
        <f ca="1">AND(U12,U13,U14,U15,U16,U17,U18,U19,U20)</f>
        <v>1</v>
      </c>
    </row>
    <row r="24" spans="2:23">
      <c r="C24" t="s">
        <v>65</v>
      </c>
      <c r="D24">
        <f ca="1">IFERROR(LEN(W2)-LEN(SUBSTITUTE(W2,"(","")),99)</f>
        <v>1</v>
      </c>
      <c r="E24">
        <f t="shared" ref="E24:L24" ca="1" si="6">IFERROR(LEN(X2)-LEN(SUBSTITUTE(X2,"(","")),99)</f>
        <v>1</v>
      </c>
      <c r="F24">
        <f t="shared" ca="1" si="6"/>
        <v>1</v>
      </c>
      <c r="G24">
        <f t="shared" ca="1" si="6"/>
        <v>0</v>
      </c>
      <c r="H24">
        <f t="shared" ca="1" si="6"/>
        <v>1</v>
      </c>
      <c r="I24">
        <f t="shared" ca="1" si="6"/>
        <v>1</v>
      </c>
      <c r="J24">
        <f t="shared" ca="1" si="6"/>
        <v>1</v>
      </c>
      <c r="K24">
        <f t="shared" ca="1" si="6"/>
        <v>1</v>
      </c>
      <c r="L24">
        <f t="shared" ca="1" si="6"/>
        <v>0</v>
      </c>
      <c r="M24">
        <v>1</v>
      </c>
    </row>
    <row r="25" spans="2:23"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2</v>
      </c>
      <c r="L25">
        <v>1</v>
      </c>
      <c r="M25">
        <v>1</v>
      </c>
    </row>
    <row r="26" spans="2:23">
      <c r="C26" t="s">
        <v>66</v>
      </c>
      <c r="D26" t="b">
        <f ca="1">(D24&lt;=D25)</f>
        <v>1</v>
      </c>
      <c r="E26" t="b">
        <f t="shared" ref="E26:M26" ca="1" si="7">(E24&lt;=E25)</f>
        <v>1</v>
      </c>
      <c r="F26" t="b">
        <f t="shared" ca="1" si="7"/>
        <v>1</v>
      </c>
      <c r="G26" t="b">
        <f t="shared" ca="1" si="7"/>
        <v>1</v>
      </c>
      <c r="H26" t="b">
        <f t="shared" ca="1" si="7"/>
        <v>1</v>
      </c>
      <c r="I26" t="b">
        <f t="shared" ca="1" si="7"/>
        <v>1</v>
      </c>
      <c r="J26" t="b">
        <f t="shared" ca="1" si="7"/>
        <v>1</v>
      </c>
      <c r="K26" t="b">
        <f t="shared" ca="1" si="7"/>
        <v>1</v>
      </c>
      <c r="L26" t="b">
        <f t="shared" ca="1" si="7"/>
        <v>1</v>
      </c>
      <c r="M26" t="b">
        <f t="shared" si="7"/>
        <v>1</v>
      </c>
    </row>
    <row r="28" spans="2:23">
      <c r="C28" t="s">
        <v>67</v>
      </c>
      <c r="D28" t="b">
        <f ca="1">OR(ISNUMBER(FIND("VLO",W2)),ISNUMBER(FIND("XLO",W2)))</f>
        <v>1</v>
      </c>
      <c r="E28" t="b">
        <f t="shared" ref="E28:J28" ca="1" si="8">OR(ISNUMBER(FIND("VLO",X2)),ISNUMBER(FIND("XLO",X2)))</f>
        <v>1</v>
      </c>
      <c r="F28" t="b">
        <f t="shared" ca="1" si="8"/>
        <v>1</v>
      </c>
      <c r="G28" t="b">
        <f ca="1">OR(ISNUMBER(FIND("SUM",Z2)))</f>
        <v>0</v>
      </c>
      <c r="H28" t="b">
        <f ca="1">OR(ISNUMBER(FIND("HLO",AA2)),ISNUMBER(FIND("XLO",AA2)))</f>
        <v>1</v>
      </c>
      <c r="I28" t="b">
        <f ca="1">OR(ISNUMBER(FIND("*",AB2)))</f>
        <v>1</v>
      </c>
      <c r="J28" t="b">
        <f t="shared" ca="1" si="8"/>
        <v>1</v>
      </c>
      <c r="K28" t="b">
        <f ca="1">OR(AND(ISNUMBER(FIND("IND",AD2)),ISNUMBER(FIND("ATC",AD2))),ISNUMBER(FIND("XLO",AD2)),AND(ISNUMBER(FIND("XL",AD2)),ISNUMBER(FIND("CHOO",AD2))),AND(ISNUMBER(FIND("XLO",AD2)),ISNUMBER(FIND("IF",AD2))))</f>
        <v>1</v>
      </c>
      <c r="L28" t="b">
        <f ca="1">OR(ISNUMBER(FIND("SUM",AE2)),ISNUMBER(FIND("-",AE2)))</f>
        <v>1</v>
      </c>
      <c r="M28" t="b">
        <f ca="1">AND(T12,T13,T14,T15,T16,T17,T18,T19,T20)</f>
        <v>1</v>
      </c>
    </row>
    <row r="30" spans="2:23">
      <c r="C30" t="s">
        <v>68</v>
      </c>
      <c r="D30" t="str">
        <f ca="1">IF(AND(D28,D26),D19,D20)</f>
        <v>33</v>
      </c>
      <c r="E30" t="str">
        <f t="shared" ref="E30:M30" ca="1" si="9">IF(AND(E28,E26),E19,E20)</f>
        <v>1C</v>
      </c>
      <c r="F30" t="str">
        <f t="shared" ca="1" si="9"/>
        <v>1B</v>
      </c>
      <c r="G30" t="str">
        <f t="shared" ca="1" si="9"/>
        <v>B9</v>
      </c>
      <c r="H30" t="str">
        <f t="shared" ca="1" si="9"/>
        <v>1A</v>
      </c>
      <c r="I30" t="str">
        <f t="shared" ca="1" si="9"/>
        <v>F2</v>
      </c>
      <c r="J30" t="str">
        <f t="shared" ca="1" si="9"/>
        <v>40</v>
      </c>
      <c r="K30" t="str">
        <f t="shared" ca="1" si="9"/>
        <v>1B</v>
      </c>
      <c r="L30" t="str">
        <f t="shared" ca="1" si="9"/>
        <v>C6</v>
      </c>
      <c r="M30" t="str">
        <f t="shared" ca="1" si="9"/>
        <v>DA</v>
      </c>
    </row>
    <row r="31" spans="2:23">
      <c r="C31" t="s">
        <v>69</v>
      </c>
      <c r="D31" t="str">
        <f ca="1">D30&amp;"-"&amp;D16&amp;";"</f>
        <v>33-1BFDA;</v>
      </c>
      <c r="E31" t="str">
        <f t="shared" ref="E31:L31" ca="1" si="10">E30&amp;"-"&amp;E16&amp;";"</f>
        <v>1C-CAEE;</v>
      </c>
      <c r="F31" t="str">
        <f t="shared" ca="1" si="10"/>
        <v>1B-1C7;</v>
      </c>
      <c r="G31" t="str">
        <f t="shared" ca="1" si="10"/>
        <v>B9-28C8F;</v>
      </c>
      <c r="H31" t="str">
        <f t="shared" ca="1" si="10"/>
        <v>1A-4E2;</v>
      </c>
      <c r="I31" t="str">
        <f t="shared" ca="1" si="10"/>
        <v>F2-272FD;</v>
      </c>
      <c r="J31" t="str">
        <f t="shared" ca="1" si="10"/>
        <v>40-30DCA;</v>
      </c>
      <c r="K31" t="str">
        <f t="shared" ca="1" si="10"/>
        <v>1B-1F756;</v>
      </c>
      <c r="L31" t="str">
        <f t="shared" ca="1" si="10"/>
        <v>C6-1378C5;</v>
      </c>
      <c r="M31" t="str">
        <f ca="1">M30&amp;"-"&amp;M16</f>
        <v>DA-8A7A11</v>
      </c>
    </row>
    <row r="33" spans="3:12">
      <c r="D33" t="str">
        <f ca="1">A2&amp;"|"&amp;D31&amp;E31&amp;F31&amp;G31&amp;H31&amp;I31&amp;J31&amp;K31&amp;L31&amp;M31</f>
        <v>EK6|33-1BFDA;1C-CAEE;1B-1C7;B9-28C8F;1A-4E2;F2-272FD;40-30DCA;1B-1F756;C6-1378C5;DA-8A7A11</v>
      </c>
    </row>
    <row r="36" spans="3:12">
      <c r="C36">
        <v>1</v>
      </c>
      <c r="D36">
        <f ca="1">LEN(_xlfn.FORMULATEXT('XL-Test'!F51))</f>
        <v>31</v>
      </c>
      <c r="E36">
        <f ca="1">LEN(_xlfn.FORMULATEXT('XL-Test'!G51))</f>
        <v>31</v>
      </c>
      <c r="F36">
        <f ca="1">LEN(_xlfn.FORMULATEXT('XL-Test'!H51))</f>
        <v>31</v>
      </c>
      <c r="G36">
        <f ca="1">LEN(_xlfn.FORMULATEXT('XL-Test'!I51))</f>
        <v>42</v>
      </c>
      <c r="H36">
        <f ca="1">LEN(_xlfn.FORMULATEXT('XL-Test'!J51))</f>
        <v>33</v>
      </c>
      <c r="I36">
        <f ca="1">LEN(_xlfn.FORMULATEXT('XL-Test'!K51))</f>
        <v>14</v>
      </c>
      <c r="J36">
        <f ca="1">LEN(_xlfn.FORMULATEXT('XL-Test'!L51))</f>
        <v>35</v>
      </c>
      <c r="K36">
        <f ca="1">LEN(_xlfn.FORMULATEXT('XL-Test'!M51))</f>
        <v>51</v>
      </c>
      <c r="L36">
        <f ca="1">LEN(_xlfn.FORMULATEXT('XL-Test'!N51))</f>
        <v>12</v>
      </c>
    </row>
    <row r="37" spans="3:12">
      <c r="C37">
        <v>2</v>
      </c>
      <c r="D37">
        <f ca="1">LEN(_xlfn.FORMULATEXT('XL-Test'!F52))</f>
        <v>31</v>
      </c>
      <c r="E37">
        <f ca="1">LEN(_xlfn.FORMULATEXT('XL-Test'!G52))</f>
        <v>31</v>
      </c>
      <c r="F37">
        <f ca="1">LEN(_xlfn.FORMULATEXT('XL-Test'!H52))</f>
        <v>31</v>
      </c>
      <c r="G37">
        <f ca="1">LEN(_xlfn.FORMULATEXT('XL-Test'!I52))</f>
        <v>42</v>
      </c>
      <c r="H37">
        <f ca="1">LEN(_xlfn.FORMULATEXT('XL-Test'!J52))</f>
        <v>33</v>
      </c>
      <c r="I37">
        <f ca="1">LEN(_xlfn.FORMULATEXT('XL-Test'!K52))</f>
        <v>14</v>
      </c>
      <c r="J37">
        <f ca="1">LEN(_xlfn.FORMULATEXT('XL-Test'!L52))</f>
        <v>35</v>
      </c>
      <c r="K37">
        <f ca="1">LEN(_xlfn.FORMULATEXT('XL-Test'!M52))</f>
        <v>51</v>
      </c>
      <c r="L37">
        <f ca="1">LEN(_xlfn.FORMULATEXT('XL-Test'!N52))</f>
        <v>12</v>
      </c>
    </row>
    <row r="38" spans="3:12">
      <c r="C38">
        <v>3</v>
      </c>
      <c r="D38">
        <f ca="1">LEN(_xlfn.FORMULATEXT('XL-Test'!F53))</f>
        <v>31</v>
      </c>
      <c r="E38">
        <f ca="1">LEN(_xlfn.FORMULATEXT('XL-Test'!G53))</f>
        <v>31</v>
      </c>
      <c r="F38">
        <f ca="1">LEN(_xlfn.FORMULATEXT('XL-Test'!H53))</f>
        <v>31</v>
      </c>
      <c r="G38">
        <f ca="1">LEN(_xlfn.FORMULATEXT('XL-Test'!I53))</f>
        <v>42</v>
      </c>
      <c r="H38">
        <f ca="1">LEN(_xlfn.FORMULATEXT('XL-Test'!J53))</f>
        <v>33</v>
      </c>
      <c r="I38">
        <f ca="1">LEN(_xlfn.FORMULATEXT('XL-Test'!K53))</f>
        <v>14</v>
      </c>
      <c r="J38">
        <f ca="1">LEN(_xlfn.FORMULATEXT('XL-Test'!L53))</f>
        <v>35</v>
      </c>
      <c r="K38">
        <f ca="1">LEN(_xlfn.FORMULATEXT('XL-Test'!M53))</f>
        <v>51</v>
      </c>
      <c r="L38">
        <f ca="1">LEN(_xlfn.FORMULATEXT('XL-Test'!N53))</f>
        <v>12</v>
      </c>
    </row>
    <row r="39" spans="3:12">
      <c r="C39">
        <v>4</v>
      </c>
      <c r="D39">
        <f ca="1">LEN(_xlfn.FORMULATEXT('XL-Test'!F54))</f>
        <v>31</v>
      </c>
      <c r="E39">
        <f ca="1">LEN(_xlfn.FORMULATEXT('XL-Test'!G54))</f>
        <v>31</v>
      </c>
      <c r="F39">
        <f ca="1">LEN(_xlfn.FORMULATEXT('XL-Test'!H54))</f>
        <v>31</v>
      </c>
      <c r="G39">
        <f ca="1">LEN(_xlfn.FORMULATEXT('XL-Test'!I54))</f>
        <v>42</v>
      </c>
      <c r="H39">
        <f ca="1">LEN(_xlfn.FORMULATEXT('XL-Test'!J54))</f>
        <v>33</v>
      </c>
      <c r="I39">
        <f ca="1">LEN(_xlfn.FORMULATEXT('XL-Test'!K54))</f>
        <v>14</v>
      </c>
      <c r="J39">
        <f ca="1">LEN(_xlfn.FORMULATEXT('XL-Test'!L54))</f>
        <v>35</v>
      </c>
      <c r="K39">
        <f ca="1">LEN(_xlfn.FORMULATEXT('XL-Test'!M54))</f>
        <v>51</v>
      </c>
      <c r="L39">
        <f ca="1">LEN(_xlfn.FORMULATEXT('XL-Test'!N54))</f>
        <v>12</v>
      </c>
    </row>
    <row r="40" spans="3:12">
      <c r="C40">
        <v>5</v>
      </c>
      <c r="D40">
        <f ca="1">LEN(_xlfn.FORMULATEXT('XL-Test'!F55))</f>
        <v>31</v>
      </c>
      <c r="E40">
        <f ca="1">LEN(_xlfn.FORMULATEXT('XL-Test'!G55))</f>
        <v>31</v>
      </c>
      <c r="F40">
        <f ca="1">LEN(_xlfn.FORMULATEXT('XL-Test'!H55))</f>
        <v>31</v>
      </c>
      <c r="G40">
        <f ca="1">LEN(_xlfn.FORMULATEXT('XL-Test'!I55))</f>
        <v>42</v>
      </c>
      <c r="H40">
        <f ca="1">LEN(_xlfn.FORMULATEXT('XL-Test'!J55))</f>
        <v>33</v>
      </c>
      <c r="I40">
        <f ca="1">LEN(_xlfn.FORMULATEXT('XL-Test'!K55))</f>
        <v>14</v>
      </c>
      <c r="J40">
        <f ca="1">LEN(_xlfn.FORMULATEXT('XL-Test'!L55))</f>
        <v>35</v>
      </c>
      <c r="K40">
        <f ca="1">LEN(_xlfn.FORMULATEXT('XL-Test'!M55))</f>
        <v>51</v>
      </c>
      <c r="L40">
        <f ca="1">LEN(_xlfn.FORMULATEXT('XL-Test'!N55))</f>
        <v>12</v>
      </c>
    </row>
    <row r="41" spans="3:12">
      <c r="C41">
        <v>6</v>
      </c>
      <c r="D41">
        <f ca="1">LEN(_xlfn.FORMULATEXT('XL-Test'!F56))</f>
        <v>31</v>
      </c>
      <c r="E41">
        <f ca="1">LEN(_xlfn.FORMULATEXT('XL-Test'!G56))</f>
        <v>31</v>
      </c>
      <c r="F41">
        <f ca="1">LEN(_xlfn.FORMULATEXT('XL-Test'!H56))</f>
        <v>31</v>
      </c>
      <c r="G41">
        <f ca="1">LEN(_xlfn.FORMULATEXT('XL-Test'!I56))</f>
        <v>42</v>
      </c>
      <c r="H41">
        <f ca="1">LEN(_xlfn.FORMULATEXT('XL-Test'!J56))</f>
        <v>33</v>
      </c>
      <c r="I41">
        <f ca="1">LEN(_xlfn.FORMULATEXT('XL-Test'!K56))</f>
        <v>14</v>
      </c>
      <c r="J41">
        <f ca="1">LEN(_xlfn.FORMULATEXT('XL-Test'!L56))</f>
        <v>35</v>
      </c>
      <c r="K41">
        <f ca="1">LEN(_xlfn.FORMULATEXT('XL-Test'!M56))</f>
        <v>51</v>
      </c>
      <c r="L41">
        <f ca="1">LEN(_xlfn.FORMULATEXT('XL-Test'!N56))</f>
        <v>12</v>
      </c>
    </row>
    <row r="42" spans="3:12">
      <c r="C42">
        <v>7</v>
      </c>
      <c r="D42">
        <f ca="1">LEN(_xlfn.FORMULATEXT('XL-Test'!F57))</f>
        <v>31</v>
      </c>
      <c r="E42">
        <f ca="1">LEN(_xlfn.FORMULATEXT('XL-Test'!G57))</f>
        <v>31</v>
      </c>
      <c r="F42">
        <f ca="1">LEN(_xlfn.FORMULATEXT('XL-Test'!H57))</f>
        <v>31</v>
      </c>
      <c r="G42">
        <f ca="1">LEN(_xlfn.FORMULATEXT('XL-Test'!I57))</f>
        <v>42</v>
      </c>
      <c r="H42">
        <f ca="1">LEN(_xlfn.FORMULATEXT('XL-Test'!J57))</f>
        <v>33</v>
      </c>
      <c r="I42">
        <f ca="1">LEN(_xlfn.FORMULATEXT('XL-Test'!K57))</f>
        <v>14</v>
      </c>
      <c r="J42">
        <f ca="1">LEN(_xlfn.FORMULATEXT('XL-Test'!L57))</f>
        <v>35</v>
      </c>
      <c r="K42">
        <f ca="1">LEN(_xlfn.FORMULATEXT('XL-Test'!M57))</f>
        <v>51</v>
      </c>
      <c r="L42">
        <f ca="1">LEN(_xlfn.FORMULATEXT('XL-Test'!N57))</f>
        <v>12</v>
      </c>
    </row>
    <row r="43" spans="3:12">
      <c r="C43">
        <v>8</v>
      </c>
      <c r="D43">
        <f ca="1">LEN(_xlfn.FORMULATEXT('XL-Test'!F58))</f>
        <v>31</v>
      </c>
      <c r="E43">
        <f ca="1">LEN(_xlfn.FORMULATEXT('XL-Test'!G58))</f>
        <v>31</v>
      </c>
      <c r="F43">
        <f ca="1">LEN(_xlfn.FORMULATEXT('XL-Test'!H58))</f>
        <v>31</v>
      </c>
      <c r="G43">
        <f ca="1">LEN(_xlfn.FORMULATEXT('XL-Test'!I58))</f>
        <v>42</v>
      </c>
      <c r="H43">
        <f ca="1">LEN(_xlfn.FORMULATEXT('XL-Test'!J58))</f>
        <v>33</v>
      </c>
      <c r="I43">
        <f ca="1">LEN(_xlfn.FORMULATEXT('XL-Test'!K58))</f>
        <v>14</v>
      </c>
      <c r="J43">
        <f ca="1">LEN(_xlfn.FORMULATEXT('XL-Test'!L58))</f>
        <v>35</v>
      </c>
      <c r="K43">
        <f ca="1">LEN(_xlfn.FORMULATEXT('XL-Test'!M58))</f>
        <v>51</v>
      </c>
      <c r="L43">
        <f ca="1">LEN(_xlfn.FORMULATEXT('XL-Test'!N58))</f>
        <v>12</v>
      </c>
    </row>
    <row r="44" spans="3:12">
      <c r="C44">
        <v>9</v>
      </c>
      <c r="D44">
        <f ca="1">LEN(_xlfn.FORMULATEXT('XL-Test'!F59))</f>
        <v>31</v>
      </c>
      <c r="E44">
        <f ca="1">LEN(_xlfn.FORMULATEXT('XL-Test'!G59))</f>
        <v>31</v>
      </c>
      <c r="F44">
        <f ca="1">LEN(_xlfn.FORMULATEXT('XL-Test'!H59))</f>
        <v>31</v>
      </c>
      <c r="G44">
        <f ca="1">LEN(_xlfn.FORMULATEXT('XL-Test'!I59))</f>
        <v>42</v>
      </c>
      <c r="H44">
        <f ca="1">LEN(_xlfn.FORMULATEXT('XL-Test'!J59))</f>
        <v>33</v>
      </c>
      <c r="I44">
        <f ca="1">LEN(_xlfn.FORMULATEXT('XL-Test'!K59))</f>
        <v>14</v>
      </c>
      <c r="J44">
        <f ca="1">LEN(_xlfn.FORMULATEXT('XL-Test'!L59))</f>
        <v>35</v>
      </c>
      <c r="K44">
        <f ca="1">LEN(_xlfn.FORMULATEXT('XL-Test'!M59))</f>
        <v>51</v>
      </c>
      <c r="L44">
        <f ca="1">LEN(_xlfn.FORMULATEXT('XL-Test'!N59))</f>
        <v>12</v>
      </c>
    </row>
    <row r="45" spans="3:12">
      <c r="C45">
        <v>10</v>
      </c>
      <c r="D45">
        <f ca="1">LEN(_xlfn.FORMULATEXT('XL-Test'!F60))</f>
        <v>31</v>
      </c>
      <c r="E45">
        <f ca="1">LEN(_xlfn.FORMULATEXT('XL-Test'!G60))</f>
        <v>31</v>
      </c>
      <c r="F45">
        <f ca="1">LEN(_xlfn.FORMULATEXT('XL-Test'!H60))</f>
        <v>31</v>
      </c>
      <c r="G45">
        <f ca="1">LEN(_xlfn.FORMULATEXT('XL-Test'!I60))</f>
        <v>42</v>
      </c>
      <c r="H45">
        <f ca="1">LEN(_xlfn.FORMULATEXT('XL-Test'!J60))</f>
        <v>33</v>
      </c>
      <c r="I45">
        <f ca="1">LEN(_xlfn.FORMULATEXT('XL-Test'!K60))</f>
        <v>14</v>
      </c>
      <c r="J45">
        <f ca="1">LEN(_xlfn.FORMULATEXT('XL-Test'!L60))</f>
        <v>35</v>
      </c>
      <c r="K45">
        <f ca="1">LEN(_xlfn.FORMULATEXT('XL-Test'!M60))</f>
        <v>51</v>
      </c>
      <c r="L45">
        <f ca="1">LEN(_xlfn.FORMULATEXT('XL-Test'!N60))</f>
        <v>12</v>
      </c>
    </row>
    <row r="46" spans="3:12">
      <c r="C46">
        <v>11</v>
      </c>
      <c r="D46">
        <f ca="1">LEN(_xlfn.FORMULATEXT('XL-Test'!F61))</f>
        <v>31</v>
      </c>
      <c r="E46">
        <f ca="1">LEN(_xlfn.FORMULATEXT('XL-Test'!G61))</f>
        <v>31</v>
      </c>
      <c r="F46">
        <f ca="1">LEN(_xlfn.FORMULATEXT('XL-Test'!H61))</f>
        <v>31</v>
      </c>
      <c r="G46">
        <f ca="1">LEN(_xlfn.FORMULATEXT('XL-Test'!I61))</f>
        <v>42</v>
      </c>
      <c r="H46">
        <f ca="1">LEN(_xlfn.FORMULATEXT('XL-Test'!J61))</f>
        <v>33</v>
      </c>
      <c r="I46">
        <f ca="1">LEN(_xlfn.FORMULATEXT('XL-Test'!K61))</f>
        <v>14</v>
      </c>
      <c r="J46">
        <f ca="1">LEN(_xlfn.FORMULATEXT('XL-Test'!L61))</f>
        <v>35</v>
      </c>
      <c r="K46">
        <f ca="1">LEN(_xlfn.FORMULATEXT('XL-Test'!M61))</f>
        <v>51</v>
      </c>
      <c r="L46">
        <f ca="1">LEN(_xlfn.FORMULATEXT('XL-Test'!N61))</f>
        <v>12</v>
      </c>
    </row>
    <row r="47" spans="3:12">
      <c r="C47">
        <v>12</v>
      </c>
      <c r="D47">
        <f ca="1">LEN(_xlfn.FORMULATEXT('XL-Test'!F62))</f>
        <v>31</v>
      </c>
      <c r="E47">
        <f ca="1">LEN(_xlfn.FORMULATEXT('XL-Test'!G62))</f>
        <v>31</v>
      </c>
      <c r="F47">
        <f ca="1">LEN(_xlfn.FORMULATEXT('XL-Test'!H62))</f>
        <v>31</v>
      </c>
      <c r="G47">
        <f ca="1">LEN(_xlfn.FORMULATEXT('XL-Test'!I62))</f>
        <v>42</v>
      </c>
      <c r="H47">
        <f ca="1">LEN(_xlfn.FORMULATEXT('XL-Test'!J62))</f>
        <v>33</v>
      </c>
      <c r="I47">
        <f ca="1">LEN(_xlfn.FORMULATEXT('XL-Test'!K62))</f>
        <v>14</v>
      </c>
      <c r="J47">
        <f ca="1">LEN(_xlfn.FORMULATEXT('XL-Test'!L62))</f>
        <v>35</v>
      </c>
      <c r="K47">
        <f ca="1">LEN(_xlfn.FORMULATEXT('XL-Test'!M62))</f>
        <v>51</v>
      </c>
      <c r="L47">
        <f ca="1">LEN(_xlfn.FORMULATEXT('XL-Test'!N62))</f>
        <v>12</v>
      </c>
    </row>
    <row r="48" spans="3:12">
      <c r="C48">
        <v>13</v>
      </c>
      <c r="D48">
        <f ca="1">LEN(_xlfn.FORMULATEXT('XL-Test'!F63))</f>
        <v>31</v>
      </c>
      <c r="E48">
        <f ca="1">LEN(_xlfn.FORMULATEXT('XL-Test'!G63))</f>
        <v>31</v>
      </c>
      <c r="F48">
        <f ca="1">LEN(_xlfn.FORMULATEXT('XL-Test'!H63))</f>
        <v>31</v>
      </c>
      <c r="G48">
        <f ca="1">LEN(_xlfn.FORMULATEXT('XL-Test'!I63))</f>
        <v>42</v>
      </c>
      <c r="H48">
        <f ca="1">LEN(_xlfn.FORMULATEXT('XL-Test'!J63))</f>
        <v>33</v>
      </c>
      <c r="I48">
        <f ca="1">LEN(_xlfn.FORMULATEXT('XL-Test'!K63))</f>
        <v>14</v>
      </c>
      <c r="J48">
        <f ca="1">LEN(_xlfn.FORMULATEXT('XL-Test'!L63))</f>
        <v>35</v>
      </c>
      <c r="K48">
        <f ca="1">LEN(_xlfn.FORMULATEXT('XL-Test'!M63))</f>
        <v>51</v>
      </c>
      <c r="L48">
        <f ca="1">LEN(_xlfn.FORMULATEXT('XL-Test'!N63))</f>
        <v>12</v>
      </c>
    </row>
    <row r="49" spans="3:12">
      <c r="C49">
        <v>14</v>
      </c>
      <c r="D49">
        <f ca="1">LEN(_xlfn.FORMULATEXT('XL-Test'!F64))</f>
        <v>31</v>
      </c>
      <c r="E49">
        <f ca="1">LEN(_xlfn.FORMULATEXT('XL-Test'!G64))</f>
        <v>31</v>
      </c>
      <c r="F49">
        <f ca="1">LEN(_xlfn.FORMULATEXT('XL-Test'!H64))</f>
        <v>31</v>
      </c>
      <c r="G49">
        <f ca="1">LEN(_xlfn.FORMULATEXT('XL-Test'!I64))</f>
        <v>42</v>
      </c>
      <c r="H49">
        <f ca="1">LEN(_xlfn.FORMULATEXT('XL-Test'!J64))</f>
        <v>33</v>
      </c>
      <c r="I49">
        <f ca="1">LEN(_xlfn.FORMULATEXT('XL-Test'!K64))</f>
        <v>14</v>
      </c>
      <c r="J49">
        <f ca="1">LEN(_xlfn.FORMULATEXT('XL-Test'!L64))</f>
        <v>35</v>
      </c>
      <c r="K49">
        <f ca="1">LEN(_xlfn.FORMULATEXT('XL-Test'!M64))</f>
        <v>51</v>
      </c>
      <c r="L49">
        <f ca="1">LEN(_xlfn.FORMULATEXT('XL-Test'!N64))</f>
        <v>12</v>
      </c>
    </row>
    <row r="50" spans="3:12">
      <c r="C50">
        <v>15</v>
      </c>
      <c r="D50">
        <f ca="1">LEN(_xlfn.FORMULATEXT('XL-Test'!F65))</f>
        <v>31</v>
      </c>
      <c r="E50">
        <f ca="1">LEN(_xlfn.FORMULATEXT('XL-Test'!G65))</f>
        <v>31</v>
      </c>
      <c r="F50">
        <f ca="1">LEN(_xlfn.FORMULATEXT('XL-Test'!H65))</f>
        <v>31</v>
      </c>
      <c r="G50">
        <f ca="1">LEN(_xlfn.FORMULATEXT('XL-Test'!I65))</f>
        <v>42</v>
      </c>
      <c r="H50">
        <f ca="1">LEN(_xlfn.FORMULATEXT('XL-Test'!J65))</f>
        <v>33</v>
      </c>
      <c r="I50">
        <f ca="1">LEN(_xlfn.FORMULATEXT('XL-Test'!K65))</f>
        <v>14</v>
      </c>
      <c r="J50">
        <f ca="1">LEN(_xlfn.FORMULATEXT('XL-Test'!L65))</f>
        <v>35</v>
      </c>
      <c r="K50">
        <f ca="1">LEN(_xlfn.FORMULATEXT('XL-Test'!M65))</f>
        <v>51</v>
      </c>
      <c r="L50">
        <f ca="1">LEN(_xlfn.FORMULATEXT('XL-Test'!N65))</f>
        <v>12</v>
      </c>
    </row>
    <row r="51" spans="3:12">
      <c r="C51">
        <v>16</v>
      </c>
      <c r="D51">
        <f ca="1">LEN(_xlfn.FORMULATEXT('XL-Test'!F66))</f>
        <v>31</v>
      </c>
      <c r="E51">
        <f ca="1">LEN(_xlfn.FORMULATEXT('XL-Test'!G66))</f>
        <v>31</v>
      </c>
      <c r="F51">
        <f ca="1">LEN(_xlfn.FORMULATEXT('XL-Test'!H66))</f>
        <v>31</v>
      </c>
      <c r="G51">
        <f ca="1">LEN(_xlfn.FORMULATEXT('XL-Test'!I66))</f>
        <v>42</v>
      </c>
      <c r="H51">
        <f ca="1">LEN(_xlfn.FORMULATEXT('XL-Test'!J66))</f>
        <v>33</v>
      </c>
      <c r="I51">
        <f ca="1">LEN(_xlfn.FORMULATEXT('XL-Test'!K66))</f>
        <v>14</v>
      </c>
      <c r="J51">
        <f ca="1">LEN(_xlfn.FORMULATEXT('XL-Test'!L66))</f>
        <v>35</v>
      </c>
      <c r="K51">
        <f ca="1">LEN(_xlfn.FORMULATEXT('XL-Test'!M66))</f>
        <v>51</v>
      </c>
      <c r="L51">
        <f ca="1">LEN(_xlfn.FORMULATEXT('XL-Test'!N66))</f>
        <v>12</v>
      </c>
    </row>
    <row r="52" spans="3:12">
      <c r="C52">
        <v>17</v>
      </c>
      <c r="D52">
        <f ca="1">LEN(_xlfn.FORMULATEXT('XL-Test'!F67))</f>
        <v>31</v>
      </c>
      <c r="E52">
        <f ca="1">LEN(_xlfn.FORMULATEXT('XL-Test'!G67))</f>
        <v>31</v>
      </c>
      <c r="F52">
        <f ca="1">LEN(_xlfn.FORMULATEXT('XL-Test'!H67))</f>
        <v>31</v>
      </c>
      <c r="G52">
        <f ca="1">LEN(_xlfn.FORMULATEXT('XL-Test'!I67))</f>
        <v>42</v>
      </c>
      <c r="H52">
        <f ca="1">LEN(_xlfn.FORMULATEXT('XL-Test'!J67))</f>
        <v>33</v>
      </c>
      <c r="I52">
        <f ca="1">LEN(_xlfn.FORMULATEXT('XL-Test'!K67))</f>
        <v>14</v>
      </c>
      <c r="J52">
        <f ca="1">LEN(_xlfn.FORMULATEXT('XL-Test'!L67))</f>
        <v>35</v>
      </c>
      <c r="K52">
        <f ca="1">LEN(_xlfn.FORMULATEXT('XL-Test'!M67))</f>
        <v>51</v>
      </c>
      <c r="L52">
        <f ca="1">LEN(_xlfn.FORMULATEXT('XL-Test'!N67))</f>
        <v>12</v>
      </c>
    </row>
    <row r="53" spans="3:12">
      <c r="C53">
        <v>18</v>
      </c>
      <c r="D53">
        <f ca="1">LEN(_xlfn.FORMULATEXT('XL-Test'!F68))</f>
        <v>31</v>
      </c>
      <c r="E53">
        <f ca="1">LEN(_xlfn.FORMULATEXT('XL-Test'!G68))</f>
        <v>31</v>
      </c>
      <c r="F53">
        <f ca="1">LEN(_xlfn.FORMULATEXT('XL-Test'!H68))</f>
        <v>31</v>
      </c>
      <c r="G53">
        <f ca="1">LEN(_xlfn.FORMULATEXT('XL-Test'!I68))</f>
        <v>42</v>
      </c>
      <c r="H53">
        <f ca="1">LEN(_xlfn.FORMULATEXT('XL-Test'!J68))</f>
        <v>33</v>
      </c>
      <c r="I53">
        <f ca="1">LEN(_xlfn.FORMULATEXT('XL-Test'!K68))</f>
        <v>14</v>
      </c>
      <c r="J53">
        <f ca="1">LEN(_xlfn.FORMULATEXT('XL-Test'!L68))</f>
        <v>35</v>
      </c>
      <c r="K53">
        <f ca="1">LEN(_xlfn.FORMULATEXT('XL-Test'!M68))</f>
        <v>51</v>
      </c>
      <c r="L53">
        <f ca="1">LEN(_xlfn.FORMULATEXT('XL-Test'!N68))</f>
        <v>12</v>
      </c>
    </row>
    <row r="54" spans="3:12">
      <c r="C54">
        <v>19</v>
      </c>
      <c r="D54">
        <f ca="1">LEN(_xlfn.FORMULATEXT('XL-Test'!F69))</f>
        <v>31</v>
      </c>
      <c r="E54">
        <f ca="1">LEN(_xlfn.FORMULATEXT('XL-Test'!G69))</f>
        <v>31</v>
      </c>
      <c r="F54">
        <f ca="1">LEN(_xlfn.FORMULATEXT('XL-Test'!H69))</f>
        <v>31</v>
      </c>
      <c r="G54">
        <f ca="1">LEN(_xlfn.FORMULATEXT('XL-Test'!I69))</f>
        <v>42</v>
      </c>
      <c r="H54">
        <f ca="1">LEN(_xlfn.FORMULATEXT('XL-Test'!J69))</f>
        <v>33</v>
      </c>
      <c r="I54">
        <f ca="1">LEN(_xlfn.FORMULATEXT('XL-Test'!K69))</f>
        <v>14</v>
      </c>
      <c r="J54">
        <f ca="1">LEN(_xlfn.FORMULATEXT('XL-Test'!L69))</f>
        <v>35</v>
      </c>
      <c r="K54">
        <f ca="1">LEN(_xlfn.FORMULATEXT('XL-Test'!M69))</f>
        <v>51</v>
      </c>
      <c r="L54">
        <f ca="1">LEN(_xlfn.FORMULATEXT('XL-Test'!N69))</f>
        <v>12</v>
      </c>
    </row>
    <row r="55" spans="3:12">
      <c r="C55">
        <v>20</v>
      </c>
      <c r="D55">
        <f ca="1">LEN(_xlfn.FORMULATEXT('XL-Test'!F70))</f>
        <v>31</v>
      </c>
      <c r="E55">
        <f ca="1">LEN(_xlfn.FORMULATEXT('XL-Test'!G70))</f>
        <v>31</v>
      </c>
      <c r="F55">
        <f ca="1">LEN(_xlfn.FORMULATEXT('XL-Test'!H70))</f>
        <v>31</v>
      </c>
      <c r="G55">
        <f ca="1">LEN(_xlfn.FORMULATEXT('XL-Test'!I70))</f>
        <v>42</v>
      </c>
      <c r="H55">
        <f ca="1">LEN(_xlfn.FORMULATEXT('XL-Test'!J70))</f>
        <v>33</v>
      </c>
      <c r="I55">
        <f ca="1">LEN(_xlfn.FORMULATEXT('XL-Test'!K70))</f>
        <v>14</v>
      </c>
      <c r="J55">
        <f ca="1">LEN(_xlfn.FORMULATEXT('XL-Test'!L70))</f>
        <v>35</v>
      </c>
      <c r="K55">
        <f ca="1">LEN(_xlfn.FORMULATEXT('XL-Test'!M70))</f>
        <v>51</v>
      </c>
      <c r="L55">
        <f ca="1">LEN(_xlfn.FORMULATEXT('XL-Test'!N70))</f>
        <v>12</v>
      </c>
    </row>
    <row r="56" spans="3:12">
      <c r="C56">
        <v>21</v>
      </c>
      <c r="D56">
        <f ca="1">LEN(_xlfn.FORMULATEXT('XL-Test'!F71))</f>
        <v>31</v>
      </c>
      <c r="E56">
        <f ca="1">LEN(_xlfn.FORMULATEXT('XL-Test'!G71))</f>
        <v>31</v>
      </c>
      <c r="F56">
        <f ca="1">LEN(_xlfn.FORMULATEXT('XL-Test'!H71))</f>
        <v>31</v>
      </c>
      <c r="G56">
        <f ca="1">LEN(_xlfn.FORMULATEXT('XL-Test'!I71))</f>
        <v>42</v>
      </c>
      <c r="H56">
        <f ca="1">LEN(_xlfn.FORMULATEXT('XL-Test'!J71))</f>
        <v>33</v>
      </c>
      <c r="I56">
        <f ca="1">LEN(_xlfn.FORMULATEXT('XL-Test'!K71))</f>
        <v>14</v>
      </c>
      <c r="J56">
        <f ca="1">LEN(_xlfn.FORMULATEXT('XL-Test'!L71))</f>
        <v>35</v>
      </c>
      <c r="K56">
        <f ca="1">LEN(_xlfn.FORMULATEXT('XL-Test'!M71))</f>
        <v>51</v>
      </c>
      <c r="L56">
        <f ca="1">LEN(_xlfn.FORMULATEXT('XL-Test'!N71))</f>
        <v>12</v>
      </c>
    </row>
    <row r="57" spans="3:12">
      <c r="C57">
        <v>22</v>
      </c>
      <c r="D57">
        <f ca="1">LEN(_xlfn.FORMULATEXT('XL-Test'!F72))</f>
        <v>31</v>
      </c>
      <c r="E57">
        <f ca="1">LEN(_xlfn.FORMULATEXT('XL-Test'!G72))</f>
        <v>31</v>
      </c>
      <c r="F57">
        <f ca="1">LEN(_xlfn.FORMULATEXT('XL-Test'!H72))</f>
        <v>31</v>
      </c>
      <c r="G57">
        <f ca="1">LEN(_xlfn.FORMULATEXT('XL-Test'!I72))</f>
        <v>42</v>
      </c>
      <c r="H57">
        <f ca="1">LEN(_xlfn.FORMULATEXT('XL-Test'!J72))</f>
        <v>33</v>
      </c>
      <c r="I57">
        <f ca="1">LEN(_xlfn.FORMULATEXT('XL-Test'!K72))</f>
        <v>14</v>
      </c>
      <c r="J57">
        <f ca="1">LEN(_xlfn.FORMULATEXT('XL-Test'!L72))</f>
        <v>35</v>
      </c>
      <c r="K57">
        <f ca="1">LEN(_xlfn.FORMULATEXT('XL-Test'!M72))</f>
        <v>51</v>
      </c>
      <c r="L57">
        <f ca="1">LEN(_xlfn.FORMULATEXT('XL-Test'!N72))</f>
        <v>12</v>
      </c>
    </row>
    <row r="58" spans="3:12">
      <c r="C58">
        <v>23</v>
      </c>
      <c r="D58">
        <f ca="1">LEN(_xlfn.FORMULATEXT('XL-Test'!F73))</f>
        <v>31</v>
      </c>
      <c r="E58">
        <f ca="1">LEN(_xlfn.FORMULATEXT('XL-Test'!G73))</f>
        <v>31</v>
      </c>
      <c r="F58">
        <f ca="1">LEN(_xlfn.FORMULATEXT('XL-Test'!H73))</f>
        <v>31</v>
      </c>
      <c r="G58">
        <f ca="1">LEN(_xlfn.FORMULATEXT('XL-Test'!I73))</f>
        <v>42</v>
      </c>
      <c r="H58">
        <f ca="1">LEN(_xlfn.FORMULATEXT('XL-Test'!J73))</f>
        <v>33</v>
      </c>
      <c r="I58">
        <f ca="1">LEN(_xlfn.FORMULATEXT('XL-Test'!K73))</f>
        <v>14</v>
      </c>
      <c r="J58">
        <f ca="1">LEN(_xlfn.FORMULATEXT('XL-Test'!L73))</f>
        <v>35</v>
      </c>
      <c r="K58">
        <f ca="1">LEN(_xlfn.FORMULATEXT('XL-Test'!M73))</f>
        <v>51</v>
      </c>
      <c r="L58">
        <f ca="1">LEN(_xlfn.FORMULATEXT('XL-Test'!N73))</f>
        <v>12</v>
      </c>
    </row>
    <row r="63" spans="3:12">
      <c r="D63">
        <f ca="1">AVERAGE(D36:D58)</f>
        <v>31</v>
      </c>
      <c r="E63">
        <f t="shared" ref="E63:L63" ca="1" si="11">AVERAGE(E36:E58)</f>
        <v>31</v>
      </c>
      <c r="F63">
        <f t="shared" ca="1" si="11"/>
        <v>31</v>
      </c>
      <c r="G63">
        <f t="shared" ca="1" si="11"/>
        <v>42</v>
      </c>
      <c r="H63">
        <f t="shared" ca="1" si="11"/>
        <v>33</v>
      </c>
      <c r="I63">
        <f t="shared" ca="1" si="11"/>
        <v>14</v>
      </c>
      <c r="J63">
        <f t="shared" ca="1" si="11"/>
        <v>35</v>
      </c>
      <c r="K63">
        <f t="shared" ca="1" si="11"/>
        <v>51</v>
      </c>
      <c r="L63">
        <f t="shared" ca="1" si="11"/>
        <v>12</v>
      </c>
    </row>
    <row r="64" spans="3:12">
      <c r="D64" t="b">
        <f ca="1">IFERROR(SUM(D36:D58)/23=D41,0)</f>
        <v>1</v>
      </c>
      <c r="E64" t="b">
        <f t="shared" ref="E64:L64" ca="1" si="12">IFERROR(SUM(E36:E58)/23=E41,0)</f>
        <v>1</v>
      </c>
      <c r="F64" t="b">
        <f t="shared" ca="1" si="12"/>
        <v>1</v>
      </c>
      <c r="G64" t="b">
        <f t="shared" ca="1" si="12"/>
        <v>1</v>
      </c>
      <c r="H64" t="b">
        <f t="shared" ca="1" si="12"/>
        <v>1</v>
      </c>
      <c r="I64" t="b">
        <f t="shared" ca="1" si="12"/>
        <v>1</v>
      </c>
      <c r="J64" t="b">
        <f t="shared" ca="1" si="12"/>
        <v>1</v>
      </c>
      <c r="K64" t="b">
        <f t="shared" ca="1" si="12"/>
        <v>1</v>
      </c>
      <c r="L64" t="b">
        <f t="shared" ca="1" si="12"/>
        <v>1</v>
      </c>
    </row>
    <row r="66" spans="3:12">
      <c r="C66" t="s">
        <v>70</v>
      </c>
      <c r="D66" t="b">
        <f ca="1">AND(D36&gt;0,D39=0,D6&gt;0)</f>
        <v>0</v>
      </c>
      <c r="E66" t="b">
        <f t="shared" ref="E66:L66" ca="1" si="13">AND(E36&gt;0,E39=0,E6&gt;0)</f>
        <v>0</v>
      </c>
      <c r="F66" t="b">
        <f t="shared" ca="1" si="13"/>
        <v>0</v>
      </c>
      <c r="G66" t="b">
        <f t="shared" ca="1" si="13"/>
        <v>0</v>
      </c>
      <c r="H66" t="b">
        <f t="shared" ca="1" si="13"/>
        <v>0</v>
      </c>
      <c r="I66" t="b">
        <f t="shared" ca="1" si="13"/>
        <v>0</v>
      </c>
      <c r="J66" t="b">
        <f t="shared" ca="1" si="13"/>
        <v>0</v>
      </c>
      <c r="K66" t="b">
        <f t="shared" ca="1" si="13"/>
        <v>0</v>
      </c>
      <c r="L66" t="b">
        <f t="shared" ca="1" si="13"/>
        <v>0</v>
      </c>
    </row>
    <row r="68" spans="3:12">
      <c r="D68" t="b">
        <f ca="1">IFERROR(OR(D66,D64),FALSE)</f>
        <v>1</v>
      </c>
      <c r="E68" t="b">
        <f t="shared" ref="E68:L68" ca="1" si="14">IFERROR(OR(E66,E64),FALSE)</f>
        <v>1</v>
      </c>
      <c r="F68" t="b">
        <f t="shared" ca="1" si="14"/>
        <v>1</v>
      </c>
      <c r="G68" t="b">
        <f t="shared" ca="1" si="14"/>
        <v>1</v>
      </c>
      <c r="H68" t="b">
        <f t="shared" ca="1" si="14"/>
        <v>1</v>
      </c>
      <c r="I68" t="b">
        <f t="shared" ca="1" si="14"/>
        <v>1</v>
      </c>
      <c r="J68" t="b">
        <f t="shared" ca="1" si="14"/>
        <v>1</v>
      </c>
      <c r="K68" t="b">
        <f t="shared" ca="1" si="14"/>
        <v>1</v>
      </c>
      <c r="L68" t="b">
        <f t="shared" ca="1" si="14"/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XL-Test</vt:lpstr>
      <vt:lpstr>DATA</vt:lpstr>
      <vt:lpstr>About</vt:lpstr>
      <vt:lpstr>kode_jawaban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setiadi</dc:creator>
  <cp:lastModifiedBy>ASUS K16</cp:lastModifiedBy>
  <dcterms:created xsi:type="dcterms:W3CDTF">2025-09-13T05:38:00Z</dcterms:created>
  <dcterms:modified xsi:type="dcterms:W3CDTF">2026-08-08T15:03:51Z</dcterms:modified>
</cp:coreProperties>
</file>