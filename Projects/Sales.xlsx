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Learn\BELAJAR EXCEL SKUY\Latsol\Empty\"/>
    </mc:Choice>
  </mc:AlternateContent>
  <xr:revisionPtr revIDLastSave="0" documentId="13_ncr:1_{BC9653E7-D58A-4F32-B9F0-8575756D37E6}" xr6:coauthVersionLast="47" xr6:coauthVersionMax="47" xr10:uidLastSave="{00000000-0000-0000-0000-000000000000}"/>
  <workbookProtection workbookAlgorithmName="SHA-512" workbookHashValue="8pefbVNl88wnX8yiuFxixXLywbiNR8uH0ZOiN6REA+DwsetWwpf56fgXDcOPaDMiv3LMQABhhIbkfkBF++Z9Hw==" workbookSaltValue="AK9vfd8snDer0RBvQZKScw==" workbookSpinCount="100000" lockStructure="1"/>
  <bookViews>
    <workbookView xWindow="-108" yWindow="-108" windowWidth="23256" windowHeight="13896" xr2:uid="{B9C20AFC-1C21-4AAC-8E35-87A73D98435D}"/>
  </bookViews>
  <sheets>
    <sheet name="XL-Test " sheetId="1" r:id="rId1"/>
    <sheet name="About" sheetId="4" r:id="rId2"/>
    <sheet name="DF" sheetId="3" state="veryHidden" r:id="rId3"/>
  </sheets>
  <definedNames>
    <definedName name="DFGO" localSheetId="2">DF!$O$40</definedName>
    <definedName name="Kode_jawaban">DF!$C$42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1" l="1" a="1"/>
  <c r="K48" i="1"/>
  <c r="G3" i="3" s="1"/>
  <c r="K49" i="1" a="1"/>
  <c r="K49" i="1"/>
  <c r="G4" i="3" s="1"/>
  <c r="K50" i="1" a="1"/>
  <c r="K50" i="1"/>
  <c r="G5" i="3" s="1"/>
  <c r="K51" i="1" a="1"/>
  <c r="K51" i="1" s="1"/>
  <c r="G6" i="3" s="1"/>
  <c r="K52" i="1" a="1"/>
  <c r="K52" i="1" s="1"/>
  <c r="G7" i="3" s="1"/>
  <c r="K53" i="1" a="1"/>
  <c r="K53" i="1" s="1"/>
  <c r="G8" i="3" s="1"/>
  <c r="K54" i="1" a="1"/>
  <c r="K54" i="1" s="1"/>
  <c r="G9" i="3" s="1"/>
  <c r="K55" i="1" a="1"/>
  <c r="K55" i="1"/>
  <c r="G10" i="3" s="1"/>
  <c r="K56" i="1" a="1"/>
  <c r="K56" i="1"/>
  <c r="K57" i="1" a="1"/>
  <c r="K57" i="1"/>
  <c r="K58" i="1" a="1"/>
  <c r="K58" i="1" s="1"/>
  <c r="G13" i="3" s="1"/>
  <c r="K59" i="1" a="1"/>
  <c r="K59" i="1" s="1"/>
  <c r="G14" i="3" s="1"/>
  <c r="K60" i="1" a="1"/>
  <c r="K60" i="1"/>
  <c r="G15" i="3" s="1"/>
  <c r="K61" i="1" a="1"/>
  <c r="K61" i="1"/>
  <c r="G16" i="3" s="1"/>
  <c r="K47" i="1" a="1"/>
  <c r="K47" i="1" s="1"/>
  <c r="G11" i="3"/>
  <c r="G12" i="3"/>
  <c r="H63" i="1"/>
  <c r="H62" i="1"/>
  <c r="J48" i="1"/>
  <c r="F3" i="3" s="1"/>
  <c r="J53" i="1"/>
  <c r="F8" i="3" s="1"/>
  <c r="J54" i="1"/>
  <c r="F9" i="3" s="1"/>
  <c r="J58" i="1"/>
  <c r="L58" i="1" s="1"/>
  <c r="H13" i="3" s="1"/>
  <c r="J60" i="1"/>
  <c r="F15" i="3" s="1"/>
  <c r="I48" i="1"/>
  <c r="E3" i="3" s="1"/>
  <c r="I49" i="1"/>
  <c r="E4" i="3" s="1"/>
  <c r="I50" i="1"/>
  <c r="E5" i="3" s="1"/>
  <c r="I51" i="1"/>
  <c r="E6" i="3" s="1"/>
  <c r="I52" i="1"/>
  <c r="E7" i="3" s="1"/>
  <c r="I53" i="1"/>
  <c r="I54" i="1"/>
  <c r="I55" i="1"/>
  <c r="E10" i="3" s="1"/>
  <c r="I56" i="1"/>
  <c r="J56" i="1" s="1"/>
  <c r="I57" i="1"/>
  <c r="E12" i="3" s="1"/>
  <c r="I58" i="1"/>
  <c r="E13" i="3" s="1"/>
  <c r="I59" i="1"/>
  <c r="E14" i="3" s="1"/>
  <c r="I60" i="1"/>
  <c r="I61" i="1"/>
  <c r="J61" i="1" s="1"/>
  <c r="I47" i="1"/>
  <c r="J47" i="1" s="1"/>
  <c r="L47" i="1" s="1"/>
  <c r="G48" i="1"/>
  <c r="G49" i="1"/>
  <c r="D4" i="3" s="1"/>
  <c r="M4" i="3" s="1"/>
  <c r="G50" i="1"/>
  <c r="D5" i="3" s="1"/>
  <c r="M5" i="3" s="1"/>
  <c r="G51" i="1"/>
  <c r="D6" i="3" s="1"/>
  <c r="M6" i="3" s="1"/>
  <c r="G52" i="1"/>
  <c r="D7" i="3" s="1"/>
  <c r="M7" i="3" s="1"/>
  <c r="G53" i="1"/>
  <c r="D8" i="3" s="1"/>
  <c r="M8" i="3" s="1"/>
  <c r="G54" i="1"/>
  <c r="D9" i="3" s="1"/>
  <c r="M9" i="3" s="1"/>
  <c r="G55" i="1"/>
  <c r="D10" i="3" s="1"/>
  <c r="M10" i="3" s="1"/>
  <c r="G56" i="1"/>
  <c r="D11" i="3" s="1"/>
  <c r="M11" i="3" s="1"/>
  <c r="G57" i="1"/>
  <c r="D12" i="3" s="1"/>
  <c r="M12" i="3" s="1"/>
  <c r="G58" i="1"/>
  <c r="D13" i="3" s="1"/>
  <c r="M13" i="3" s="1"/>
  <c r="G59" i="1"/>
  <c r="D14" i="3" s="1"/>
  <c r="M14" i="3" s="1"/>
  <c r="G60" i="1"/>
  <c r="D15" i="3" s="1"/>
  <c r="M15" i="3" s="1"/>
  <c r="G61" i="1"/>
  <c r="D16" i="3" s="1"/>
  <c r="M16" i="3" s="1"/>
  <c r="G47" i="1"/>
  <c r="D2" i="3" s="1"/>
  <c r="D28" i="3" s="1"/>
  <c r="E48" i="1"/>
  <c r="E49" i="1"/>
  <c r="E50" i="1"/>
  <c r="C5" i="3" s="1"/>
  <c r="L5" i="3" s="1"/>
  <c r="E51" i="1"/>
  <c r="C6" i="3" s="1"/>
  <c r="L6" i="3" s="1"/>
  <c r="E52" i="1"/>
  <c r="C7" i="3" s="1"/>
  <c r="L7" i="3" s="1"/>
  <c r="E53" i="1"/>
  <c r="E54" i="1"/>
  <c r="C9" i="3" s="1"/>
  <c r="L9" i="3" s="1"/>
  <c r="E55" i="1"/>
  <c r="C10" i="3" s="1"/>
  <c r="L10" i="3" s="1"/>
  <c r="E56" i="1"/>
  <c r="C11" i="3" s="1"/>
  <c r="L11" i="3" s="1"/>
  <c r="E57" i="1"/>
  <c r="C12" i="3" s="1"/>
  <c r="L12" i="3" s="1"/>
  <c r="E58" i="1"/>
  <c r="C13" i="3" s="1"/>
  <c r="L13" i="3" s="1"/>
  <c r="E59" i="1"/>
  <c r="C14" i="3" s="1"/>
  <c r="L14" i="3" s="1"/>
  <c r="E60" i="1"/>
  <c r="C15" i="3" s="1"/>
  <c r="L15" i="3" s="1"/>
  <c r="E61" i="1"/>
  <c r="E47" i="1"/>
  <c r="N47" i="3"/>
  <c r="D24" i="3"/>
  <c r="E24" i="3"/>
  <c r="F24" i="3"/>
  <c r="G24" i="3"/>
  <c r="H24" i="3"/>
  <c r="I24" i="3"/>
  <c r="J24" i="3"/>
  <c r="C24" i="3"/>
  <c r="D23" i="3"/>
  <c r="E23" i="3"/>
  <c r="F23" i="3"/>
  <c r="G23" i="3"/>
  <c r="H23" i="3"/>
  <c r="I23" i="3"/>
  <c r="J23" i="3"/>
  <c r="C23" i="3"/>
  <c r="J33" i="3"/>
  <c r="J35" i="3" s="1"/>
  <c r="I33" i="3"/>
  <c r="I35" i="3" s="1"/>
  <c r="I2" i="3"/>
  <c r="F13" i="3"/>
  <c r="E8" i="3"/>
  <c r="E9" i="3"/>
  <c r="E15" i="3"/>
  <c r="E16" i="3"/>
  <c r="D3" i="3"/>
  <c r="M3" i="3" s="1"/>
  <c r="C3" i="3"/>
  <c r="L3" i="3" s="1"/>
  <c r="C4" i="3"/>
  <c r="L4" i="3" s="1"/>
  <c r="C8" i="3"/>
  <c r="L8" i="3" s="1"/>
  <c r="C16" i="3"/>
  <c r="L16" i="3" s="1"/>
  <c r="F48" i="3"/>
  <c r="F51" i="3"/>
  <c r="F54" i="3"/>
  <c r="F57" i="3"/>
  <c r="F60" i="3"/>
  <c r="D52" i="3"/>
  <c r="C49" i="3"/>
  <c r="C46" i="3"/>
  <c r="G51" i="3"/>
  <c r="G60" i="3"/>
  <c r="P12" i="3"/>
  <c r="P7" i="3"/>
  <c r="P4" i="3"/>
  <c r="G48" i="3"/>
  <c r="H48" i="3"/>
  <c r="H51" i="3"/>
  <c r="H54" i="3"/>
  <c r="H57" i="3"/>
  <c r="H60" i="3"/>
  <c r="D54" i="3"/>
  <c r="C51" i="3"/>
  <c r="P11" i="3"/>
  <c r="P6" i="3"/>
  <c r="E55" i="3"/>
  <c r="C52" i="3"/>
  <c r="P5" i="3"/>
  <c r="E49" i="3"/>
  <c r="E52" i="3"/>
  <c r="E58" i="3"/>
  <c r="P10" i="3"/>
  <c r="F49" i="3"/>
  <c r="F52" i="3"/>
  <c r="F55" i="3"/>
  <c r="F58" i="3"/>
  <c r="G46" i="3"/>
  <c r="D56" i="3"/>
  <c r="C53" i="3"/>
  <c r="P9" i="3"/>
  <c r="G49" i="3"/>
  <c r="G52" i="3"/>
  <c r="G55" i="3"/>
  <c r="G58" i="3"/>
  <c r="H46" i="3"/>
  <c r="D57" i="3"/>
  <c r="C54" i="3"/>
  <c r="S2" i="3"/>
  <c r="P3" i="3"/>
  <c r="E53" i="3"/>
  <c r="E59" i="3"/>
  <c r="D59" i="3"/>
  <c r="U2" i="3"/>
  <c r="Q2" i="3"/>
  <c r="H49" i="3"/>
  <c r="H52" i="3"/>
  <c r="H55" i="3"/>
  <c r="H58" i="3"/>
  <c r="E46" i="3"/>
  <c r="D58" i="3"/>
  <c r="C55" i="3"/>
  <c r="T2" i="3"/>
  <c r="P2" i="3"/>
  <c r="E50" i="3"/>
  <c r="E56" i="3"/>
  <c r="D47" i="3"/>
  <c r="C56" i="3"/>
  <c r="C58" i="3"/>
  <c r="E47" i="3"/>
  <c r="F47" i="3"/>
  <c r="F50" i="3"/>
  <c r="F53" i="3"/>
  <c r="F56" i="3"/>
  <c r="F59" i="3"/>
  <c r="D48" i="3"/>
  <c r="D60" i="3"/>
  <c r="C57" i="3"/>
  <c r="R2" i="3"/>
  <c r="G50" i="3"/>
  <c r="G53" i="3"/>
  <c r="G56" i="3"/>
  <c r="G59" i="3"/>
  <c r="D49" i="3"/>
  <c r="D46" i="3"/>
  <c r="G47" i="3"/>
  <c r="H47" i="3"/>
  <c r="H50" i="3"/>
  <c r="H53" i="3"/>
  <c r="H56" i="3"/>
  <c r="H59" i="3"/>
  <c r="D50" i="3"/>
  <c r="C47" i="3"/>
  <c r="C59" i="3"/>
  <c r="G57" i="3"/>
  <c r="C50" i="3"/>
  <c r="D55" i="3"/>
  <c r="E48" i="3"/>
  <c r="E51" i="3"/>
  <c r="E54" i="3"/>
  <c r="E57" i="3"/>
  <c r="E60" i="3"/>
  <c r="D51" i="3"/>
  <c r="C48" i="3"/>
  <c r="C60" i="3"/>
  <c r="G54" i="3"/>
  <c r="D53" i="3"/>
  <c r="F46" i="3"/>
  <c r="F16" i="3" l="1"/>
  <c r="L61" i="1"/>
  <c r="H16" i="3" s="1"/>
  <c r="L56" i="1"/>
  <c r="H11" i="3" s="1"/>
  <c r="F11" i="3"/>
  <c r="J52" i="1"/>
  <c r="L54" i="1"/>
  <c r="H9" i="3" s="1"/>
  <c r="J51" i="1"/>
  <c r="L53" i="1"/>
  <c r="H8" i="3" s="1"/>
  <c r="J50" i="1"/>
  <c r="J49" i="1"/>
  <c r="J59" i="1"/>
  <c r="L60" i="1"/>
  <c r="H15" i="3" s="1"/>
  <c r="L48" i="1"/>
  <c r="H3" i="3" s="1"/>
  <c r="J55" i="1"/>
  <c r="E11" i="3"/>
  <c r="J57" i="1"/>
  <c r="E33" i="3"/>
  <c r="E35" i="3" s="1"/>
  <c r="C33" i="3"/>
  <c r="C35" i="3" s="1"/>
  <c r="H33" i="3"/>
  <c r="H35" i="3" s="1"/>
  <c r="F33" i="3"/>
  <c r="F35" i="3" s="1"/>
  <c r="R9" i="3"/>
  <c r="G32" i="3"/>
  <c r="R11" i="3"/>
  <c r="I25" i="3"/>
  <c r="G26" i="3"/>
  <c r="G33" i="3"/>
  <c r="G35" i="3" s="1"/>
  <c r="D32" i="3"/>
  <c r="D33" i="3"/>
  <c r="D35" i="3" s="1"/>
  <c r="Q12" i="3"/>
  <c r="R12" i="3"/>
  <c r="Q11" i="3"/>
  <c r="Q10" i="3"/>
  <c r="R10" i="3"/>
  <c r="Q9" i="3"/>
  <c r="H26" i="3"/>
  <c r="H32" i="3"/>
  <c r="F26" i="3"/>
  <c r="F32" i="3"/>
  <c r="E26" i="3"/>
  <c r="E32" i="3"/>
  <c r="D26" i="3"/>
  <c r="C26" i="3"/>
  <c r="C32" i="3"/>
  <c r="C2" i="3"/>
  <c r="C28" i="3" s="1"/>
  <c r="F63" i="3"/>
  <c r="G63" i="3"/>
  <c r="G64" i="3"/>
  <c r="H63" i="3"/>
  <c r="E63" i="3"/>
  <c r="E64" i="3"/>
  <c r="D63" i="3"/>
  <c r="D64" i="3"/>
  <c r="C63" i="3"/>
  <c r="C64" i="3"/>
  <c r="M2" i="3"/>
  <c r="M18" i="3" s="1"/>
  <c r="D18" i="3" s="1"/>
  <c r="D25" i="3"/>
  <c r="J2" i="3"/>
  <c r="G2" i="3"/>
  <c r="E2" i="3"/>
  <c r="F4" i="3" l="1"/>
  <c r="L49" i="1"/>
  <c r="H4" i="3" s="1"/>
  <c r="F5" i="3"/>
  <c r="L50" i="1"/>
  <c r="H5" i="3" s="1"/>
  <c r="L51" i="1"/>
  <c r="H6" i="3" s="1"/>
  <c r="H64" i="3" s="1"/>
  <c r="H66" i="3" s="1"/>
  <c r="H27" i="3" s="1"/>
  <c r="F6" i="3"/>
  <c r="F64" i="3" s="1"/>
  <c r="F7" i="3"/>
  <c r="L52" i="1"/>
  <c r="H7" i="3" s="1"/>
  <c r="F12" i="3"/>
  <c r="L57" i="1"/>
  <c r="H12" i="3" s="1"/>
  <c r="F10" i="3"/>
  <c r="L55" i="1"/>
  <c r="H10" i="3" s="1"/>
  <c r="F14" i="3"/>
  <c r="L59" i="1"/>
  <c r="H14" i="3" s="1"/>
  <c r="L63" i="1"/>
  <c r="I32" i="3"/>
  <c r="I37" i="3" s="1"/>
  <c r="J32" i="3"/>
  <c r="J37" i="3" s="1"/>
  <c r="G37" i="3"/>
  <c r="D37" i="3"/>
  <c r="J25" i="3"/>
  <c r="G25" i="3"/>
  <c r="G28" i="3"/>
  <c r="E25" i="3"/>
  <c r="E28" i="3"/>
  <c r="H37" i="3"/>
  <c r="F37" i="3"/>
  <c r="E37" i="3"/>
  <c r="C37" i="3"/>
  <c r="J26" i="3"/>
  <c r="I26" i="3"/>
  <c r="G66" i="3"/>
  <c r="G27" i="3" s="1"/>
  <c r="D66" i="3"/>
  <c r="D27" i="3" s="1"/>
  <c r="D30" i="3" s="1"/>
  <c r="E66" i="3"/>
  <c r="E27" i="3" s="1"/>
  <c r="F66" i="3"/>
  <c r="F27" i="3" s="1"/>
  <c r="C66" i="3"/>
  <c r="C27" i="3" s="1"/>
  <c r="L2" i="3"/>
  <c r="L18" i="3" s="1"/>
  <c r="C18" i="3" s="1"/>
  <c r="C25" i="3"/>
  <c r="G18" i="3"/>
  <c r="E18" i="3"/>
  <c r="F2" i="3"/>
  <c r="L62" i="1" l="1"/>
  <c r="I3" i="3" s="1"/>
  <c r="E30" i="3"/>
  <c r="E40" i="3" s="1"/>
  <c r="D40" i="3"/>
  <c r="C30" i="3"/>
  <c r="C40" i="3" s="1"/>
  <c r="G30" i="3"/>
  <c r="G40" i="3" s="1"/>
  <c r="F25" i="3"/>
  <c r="F28" i="3"/>
  <c r="F18" i="3"/>
  <c r="H2" i="3"/>
  <c r="I7" i="3" l="1"/>
  <c r="I28" i="3"/>
  <c r="I8" i="3"/>
  <c r="I18" i="3" s="1"/>
  <c r="F30" i="3"/>
  <c r="F40" i="3" s="1"/>
  <c r="H25" i="3"/>
  <c r="H28" i="3"/>
  <c r="H18" i="3"/>
  <c r="J3" i="3"/>
  <c r="J28" i="3" s="1"/>
  <c r="I30" i="3" l="1"/>
  <c r="I40" i="3" s="1"/>
  <c r="H30" i="3"/>
  <c r="H40" i="3" s="1"/>
  <c r="J7" i="3"/>
  <c r="J8" i="3" s="1"/>
  <c r="J18" i="3" s="1"/>
  <c r="J30" i="3" s="1"/>
  <c r="J40" i="3" s="1"/>
  <c r="O40" i="3" l="1"/>
  <c r="N48" i="3" a="1"/>
  <c r="N48" i="3" l="1"/>
  <c r="C4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<sst xmlns="http://schemas.openxmlformats.org/spreadsheetml/2006/main" count="170" uniqueCount="116">
  <si>
    <t>TOKO BANGUNAN BERKAH</t>
  </si>
  <si>
    <t>NO.</t>
  </si>
  <si>
    <t>TANGGAL</t>
  </si>
  <si>
    <t>KODE PELANGGAN</t>
  </si>
  <si>
    <t>NAMA PELANGGAN</t>
  </si>
  <si>
    <t>KODE PRODUK</t>
  </si>
  <si>
    <t>NAMA PRODUK</t>
  </si>
  <si>
    <t>QTY</t>
  </si>
  <si>
    <t>HARGA SATUAN</t>
  </si>
  <si>
    <t>TOTAL PENJUALAN</t>
  </si>
  <si>
    <t>DISKON</t>
  </si>
  <si>
    <t>PENJUALAN BERSIH</t>
  </si>
  <si>
    <t>Kode Pelanggan</t>
  </si>
  <si>
    <t>1-Nov</t>
  </si>
  <si>
    <t>AB-01</t>
  </si>
  <si>
    <t>B-05</t>
  </si>
  <si>
    <t>KODE</t>
  </si>
  <si>
    <t>NAMA</t>
  </si>
  <si>
    <t>BK-02</t>
  </si>
  <si>
    <t>B-10</t>
  </si>
  <si>
    <t>Toko Ahmad Budiman</t>
  </si>
  <si>
    <t>CJ-03</t>
  </si>
  <si>
    <t>P-05</t>
  </si>
  <si>
    <t>Toko Beni Kusuma</t>
  </si>
  <si>
    <t>2-Nov</t>
  </si>
  <si>
    <t>P-10</t>
  </si>
  <si>
    <t>Toko Chris John</t>
  </si>
  <si>
    <t>Kode Produk</t>
  </si>
  <si>
    <t>Besi 5 Meter</t>
  </si>
  <si>
    <t>Besi 10 Meter</t>
  </si>
  <si>
    <t>Pipa 5 Meter</t>
  </si>
  <si>
    <t>Pipa 10 Meter</t>
  </si>
  <si>
    <t>3-Nov</t>
  </si>
  <si>
    <t>DEF</t>
  </si>
  <si>
    <r>
      <t xml:space="preserve"> Isi </t>
    </r>
    <r>
      <rPr>
        <b/>
        <sz val="10"/>
        <color rgb="FF000000"/>
        <rFont val="Aptos Narrow"/>
        <family val="2"/>
        <scheme val="minor"/>
      </rPr>
      <t>Total Penjualan</t>
    </r>
    <r>
      <rPr>
        <sz val="10"/>
        <color rgb="FF000000"/>
        <rFont val="Aptos Narrow"/>
        <family val="2"/>
        <scheme val="minor"/>
      </rPr>
      <t xml:space="preserve"> (gunakan rumus perkalian)</t>
    </r>
  </si>
  <si>
    <t>Jika QTY (kuantitas) pembelian di atas 200, maka diskon 10%, jika di atas 500, maka 20% (hitung menggunakan rumus IF)</t>
  </si>
  <si>
    <r>
      <t xml:space="preserve"> isi </t>
    </r>
    <r>
      <rPr>
        <b/>
        <sz val="10"/>
        <color rgb="FF000000"/>
        <rFont val="Aptos Narrow"/>
        <family val="2"/>
        <scheme val="minor"/>
      </rPr>
      <t>kolom Diskon</t>
    </r>
    <r>
      <rPr>
        <sz val="10"/>
        <color rgb="FF000000"/>
        <rFont val="Aptos Narrow"/>
        <family val="2"/>
        <scheme val="minor"/>
      </rPr>
      <t xml:space="preserve"> dengan ketentuan : </t>
    </r>
  </si>
  <si>
    <r>
      <t xml:space="preserve"> Isi </t>
    </r>
    <r>
      <rPr>
        <b/>
        <sz val="10"/>
        <color rgb="FF000000"/>
        <rFont val="Aptos Narrow"/>
        <family val="2"/>
        <scheme val="minor"/>
      </rPr>
      <t>Penjualan Bersih</t>
    </r>
    <r>
      <rPr>
        <sz val="10"/>
        <color rgb="FF000000"/>
        <rFont val="Aptos Narrow"/>
        <family val="2"/>
        <scheme val="minor"/>
      </rPr>
      <t xml:space="preserve"> (gunakan rumus perkalian)</t>
    </r>
  </si>
  <si>
    <t>Total QTY</t>
  </si>
  <si>
    <t>Total Penjualan Bersih</t>
  </si>
  <si>
    <t>Rata-rata Penjualan Bersih</t>
  </si>
  <si>
    <t>Rata-rata QTY</t>
  </si>
  <si>
    <t>Kosong</t>
  </si>
  <si>
    <t>Fvalue</t>
  </si>
  <si>
    <t>Cek Formula</t>
  </si>
  <si>
    <t>Random1</t>
  </si>
  <si>
    <t>Random2</t>
  </si>
  <si>
    <t>14A45</t>
  </si>
  <si>
    <t>F36C</t>
  </si>
  <si>
    <t>CB4D</t>
  </si>
  <si>
    <t>DE3A</t>
  </si>
  <si>
    <t>15D09</t>
  </si>
  <si>
    <t>10248</t>
  </si>
  <si>
    <t>F97B</t>
  </si>
  <si>
    <t>10045</t>
  </si>
  <si>
    <t>Final</t>
  </si>
  <si>
    <t>Intruksi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</si>
  <si>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</si>
  <si>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</si>
  <si>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t>Contoh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</si>
  <si>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</si>
  <si>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</si>
  <si>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</si>
  <si>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</si>
  <si>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</si>
  <si>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</si>
  <si>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</si>
  <si>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</si>
  <si>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</si>
  <si>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</si>
  <si>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</si>
  <si>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</si>
  <si>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</si>
  <si>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</si>
  <si>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</si>
  <si>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</si>
  <si>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</si>
  <si>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</si>
  <si>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</si>
  <si>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</si>
  <si>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</si>
  <si>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r>
      <t xml:space="preserve"> Isi </t>
    </r>
    <r>
      <rPr>
        <b/>
        <sz val="10"/>
        <color rgb="FF000000"/>
        <rFont val="Aptos Narrow"/>
        <family val="2"/>
        <scheme val="minor"/>
      </rPr>
      <t>Nama Pelanggan</t>
    </r>
    <r>
      <rPr>
        <sz val="10"/>
        <color rgb="FF000000"/>
        <rFont val="Aptos Narrow"/>
        <family val="2"/>
        <scheme val="minor"/>
      </rPr>
      <t xml:space="preserve"> (gunakan fungsi VLOOKUP / HLOOKUP) dari table pelanggan</t>
    </r>
  </si>
  <si>
    <r>
      <t xml:space="preserve"> Isi </t>
    </r>
    <r>
      <rPr>
        <b/>
        <sz val="10"/>
        <color rgb="FF000000"/>
        <rFont val="Aptos Narrow"/>
        <family val="2"/>
        <scheme val="minor"/>
      </rPr>
      <t>Nama Produk</t>
    </r>
    <r>
      <rPr>
        <sz val="10"/>
        <color rgb="FF000000"/>
        <rFont val="Aptos Narrow"/>
        <family val="2"/>
        <scheme val="minor"/>
      </rPr>
      <t xml:space="preserve">  (gunakan fungsi VLOOKUP / HLOOKUP) dari table Kode Produk</t>
    </r>
  </si>
  <si>
    <r>
      <t xml:space="preserve"> Isi </t>
    </r>
    <r>
      <rPr>
        <b/>
        <sz val="10"/>
        <color rgb="FF000000"/>
        <rFont val="Aptos Narrow"/>
        <family val="2"/>
        <scheme val="minor"/>
      </rPr>
      <t>Harga Satuan</t>
    </r>
    <r>
      <rPr>
        <sz val="10"/>
        <color rgb="FF000000"/>
        <rFont val="Aptos Narrow"/>
        <family val="2"/>
        <scheme val="minor"/>
      </rPr>
      <t xml:space="preserve"> (gunakan fungsi VLOOKUP / HLOOKUP) dari table kode produk</t>
    </r>
  </si>
  <si>
    <t>Scan barcode atau kunjungi</t>
  </si>
  <si>
    <t>Perlu Video Penjelasan atau Kunci Jawaban ?</t>
  </si>
  <si>
    <t>DAFTAR PENJUALAN</t>
  </si>
  <si>
    <t>Kasus :</t>
  </si>
  <si>
    <t>Easy Level - Latihan Soal VLOOKUP dan HLOOKUP</t>
  </si>
  <si>
    <t>Soal  :</t>
  </si>
  <si>
    <t>“Excel bukan cuma soal kerjaan tapi juga hobi yang aku nikmati.”</t>
  </si>
  <si>
    <t>https://lynk.id/setiadi/page/jawaban-xl-test</t>
  </si>
  <si>
    <t xml:space="preserve"> Hitung total QTY dan Penjualan Bersih (tidak termasuk contoh)</t>
  </si>
  <si>
    <t xml:space="preserve"> Hitung rata-rata QTY dan Penjualan Bersih (tidak termasuk contoh)</t>
  </si>
  <si>
    <t>EC4</t>
  </si>
  <si>
    <t>1a</t>
  </si>
  <si>
    <t>2a</t>
  </si>
  <si>
    <t>Formula</t>
  </si>
  <si>
    <t>7a</t>
  </si>
  <si>
    <t>7b</t>
  </si>
  <si>
    <t>8a</t>
  </si>
  <si>
    <t>8b</t>
  </si>
  <si>
    <t>**</t>
  </si>
  <si>
    <t>Drag</t>
  </si>
  <si>
    <t>Man</t>
  </si>
  <si>
    <t>Array</t>
  </si>
  <si>
    <t>X</t>
  </si>
  <si>
    <t>Cek Type Data</t>
  </si>
  <si>
    <t>Cek Kurung</t>
  </si>
  <si>
    <t>DF</t>
  </si>
  <si>
    <t>GO</t>
  </si>
  <si>
    <t>BH</t>
  </si>
  <si>
    <t>IK</t>
  </si>
  <si>
    <t>LO</t>
  </si>
  <si>
    <t>PO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</si>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</sst>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&quot;Rp&quot;* #,##0_-;\-&quot;Rp&quot;* #,##0_-;_-&quot;Rp&quot;* &quot;-&quot;_-;_-@_-"/>
    <numFmt numFmtId="165" formatCode="_(* #,##0_);_(* \(#,##0\);_(* &quot;-&quot;??_);_(@_)"/>
    <numFmt numFmtId="166" formatCode="#,##0;\(#,##0\);\-"/>
  </numFmts>
  <fonts count="35">
    <font>
      <sz val="10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b/>
      <i/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rgb="FF000000"/>
      <name val="Aptos Narrow"/>
      <family val="2"/>
      <scheme val="minor"/>
    </font>
    <font>
      <b/>
      <sz val="10"/>
      <color theme="6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b/>
      <sz val="18"/>
      <color theme="0"/>
      <name val="ROBOTECH GP"/>
      <family val="2"/>
    </font>
    <font>
      <sz val="12"/>
      <color theme="1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sz val="12"/>
      <color theme="0"/>
      <name val="Roboto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b/>
      <sz val="11"/>
      <color theme="0"/>
      <name val="ROBOTECH GP"/>
      <family val="2"/>
    </font>
    <font>
      <sz val="10"/>
      <color theme="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rgb="FFD0E0E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F4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8" fillId="0" borderId="0" applyNumberFormat="0" applyFill="0" applyBorder="0" applyAlignment="0" applyProtection="0"/>
  </cellStyleXfs>
  <cellXfs count="93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/>
    <xf numFmtId="1" fontId="0" fillId="0" borderId="0" xfId="0" applyNumberFormat="1"/>
    <xf numFmtId="0" fontId="4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right"/>
    </xf>
    <xf numFmtId="164" fontId="7" fillId="5" borderId="2" xfId="0" applyNumberFormat="1" applyFont="1" applyFill="1" applyBorder="1"/>
    <xf numFmtId="9" fontId="7" fillId="5" borderId="2" xfId="2" applyFont="1" applyFill="1" applyBorder="1"/>
    <xf numFmtId="165" fontId="4" fillId="5" borderId="2" xfId="1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2" borderId="1" xfId="0" applyFill="1" applyBorder="1" applyAlignment="1">
      <alignment horizontal="center"/>
    </xf>
    <xf numFmtId="0" fontId="15" fillId="0" borderId="0" xfId="0" applyFont="1"/>
    <xf numFmtId="0" fontId="7" fillId="5" borderId="2" xfId="0" applyFont="1" applyFill="1" applyBorder="1" applyAlignment="1">
      <alignment horizontal="left" indent="1"/>
    </xf>
    <xf numFmtId="165" fontId="0" fillId="0" borderId="0" xfId="1" applyNumberFormat="1" applyFont="1"/>
    <xf numFmtId="0" fontId="17" fillId="10" borderId="7" xfId="0" applyFont="1" applyFill="1" applyBorder="1" applyAlignment="1">
      <alignment vertical="top" wrapText="1"/>
    </xf>
    <xf numFmtId="0" fontId="17" fillId="10" borderId="8" xfId="0" applyFont="1" applyFill="1" applyBorder="1" applyAlignment="1">
      <alignment vertical="top" wrapText="1"/>
    </xf>
    <xf numFmtId="0" fontId="17" fillId="10" borderId="9" xfId="0" applyFont="1" applyFill="1" applyBorder="1" applyAlignment="1">
      <alignment vertical="top" wrapText="1"/>
    </xf>
    <xf numFmtId="0" fontId="0" fillId="10" borderId="0" xfId="0" applyFill="1"/>
    <xf numFmtId="0" fontId="17" fillId="10" borderId="0" xfId="0" applyFont="1" applyFill="1" applyAlignment="1">
      <alignment vertical="top" wrapText="1"/>
    </xf>
    <xf numFmtId="0" fontId="17" fillId="10" borderId="10" xfId="0" applyFont="1" applyFill="1" applyBorder="1" applyAlignment="1">
      <alignment vertical="top" wrapText="1"/>
    </xf>
    <xf numFmtId="0" fontId="18" fillId="10" borderId="0" xfId="0" applyFont="1" applyFill="1"/>
    <xf numFmtId="0" fontId="17" fillId="10" borderId="6" xfId="0" applyFont="1" applyFill="1" applyBorder="1" applyAlignment="1">
      <alignment vertical="top" wrapText="1"/>
    </xf>
    <xf numFmtId="0" fontId="17" fillId="10" borderId="11" xfId="0" applyFont="1" applyFill="1" applyBorder="1" applyAlignment="1">
      <alignment vertical="top" wrapText="1"/>
    </xf>
    <xf numFmtId="0" fontId="0" fillId="10" borderId="12" xfId="0" applyFill="1" applyBorder="1"/>
    <xf numFmtId="0" fontId="17" fillId="10" borderId="12" xfId="0" applyFont="1" applyFill="1" applyBorder="1" applyAlignment="1">
      <alignment vertical="top" wrapText="1"/>
    </xf>
    <xf numFmtId="0" fontId="17" fillId="10" borderId="13" xfId="0" applyFont="1" applyFill="1" applyBorder="1" applyAlignment="1">
      <alignment vertical="top" wrapText="1"/>
    </xf>
    <xf numFmtId="0" fontId="17" fillId="0" borderId="0" xfId="0" applyFont="1" applyAlignment="1">
      <alignment vertical="top" wrapText="1"/>
    </xf>
    <xf numFmtId="166" fontId="20" fillId="9" borderId="14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left"/>
    </xf>
    <xf numFmtId="0" fontId="0" fillId="13" borderId="1" xfId="0" applyFill="1" applyBorder="1" applyAlignment="1">
      <alignment horizontal="center"/>
    </xf>
    <xf numFmtId="0" fontId="1" fillId="0" borderId="0" xfId="3"/>
    <xf numFmtId="0" fontId="1" fillId="0" borderId="2" xfId="3" applyBorder="1"/>
    <xf numFmtId="0" fontId="1" fillId="0" borderId="18" xfId="3" applyBorder="1"/>
    <xf numFmtId="0" fontId="1" fillId="0" borderId="19" xfId="3" applyBorder="1"/>
    <xf numFmtId="0" fontId="24" fillId="0" borderId="2" xfId="3" applyFont="1" applyBorder="1" applyAlignment="1">
      <alignment horizontal="left"/>
    </xf>
    <xf numFmtId="0" fontId="14" fillId="0" borderId="2" xfId="3" applyFont="1" applyBorder="1" applyAlignment="1">
      <alignment horizontal="left"/>
    </xf>
    <xf numFmtId="0" fontId="14" fillId="0" borderId="2" xfId="3" applyFont="1" applyBorder="1"/>
    <xf numFmtId="0" fontId="28" fillId="0" borderId="2" xfId="4" applyBorder="1" applyAlignment="1">
      <alignment vertical="top"/>
    </xf>
    <xf numFmtId="0" fontId="21" fillId="0" borderId="0" xfId="3" applyFont="1"/>
    <xf numFmtId="0" fontId="29" fillId="0" borderId="0" xfId="3" applyFont="1"/>
    <xf numFmtId="0" fontId="28" fillId="0" borderId="0" xfId="4"/>
    <xf numFmtId="0" fontId="29" fillId="0" borderId="0" xfId="3" quotePrefix="1" applyFont="1"/>
    <xf numFmtId="0" fontId="0" fillId="9" borderId="0" xfId="0" applyFill="1"/>
    <xf numFmtId="0" fontId="13" fillId="9" borderId="0" xfId="0" applyFont="1" applyFill="1"/>
    <xf numFmtId="0" fontId="31" fillId="9" borderId="0" xfId="0" applyFont="1" applyFill="1"/>
    <xf numFmtId="0" fontId="22" fillId="9" borderId="0" xfId="0" applyFont="1" applyFill="1"/>
    <xf numFmtId="0" fontId="7" fillId="4" borderId="20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left" indent="1"/>
    </xf>
    <xf numFmtId="0" fontId="7" fillId="4" borderId="20" xfId="0" applyFont="1" applyFill="1" applyBorder="1" applyAlignment="1">
      <alignment horizontal="right"/>
    </xf>
    <xf numFmtId="164" fontId="7" fillId="5" borderId="20" xfId="0" applyNumberFormat="1" applyFont="1" applyFill="1" applyBorder="1"/>
    <xf numFmtId="9" fontId="7" fillId="5" borderId="20" xfId="2" applyFont="1" applyFill="1" applyBorder="1"/>
    <xf numFmtId="0" fontId="0" fillId="14" borderId="5" xfId="0" applyFill="1" applyBorder="1"/>
    <xf numFmtId="0" fontId="32" fillId="10" borderId="0" xfId="0" applyFont="1" applyFill="1" applyAlignment="1">
      <alignment vertical="top" wrapText="1"/>
    </xf>
    <xf numFmtId="0" fontId="33" fillId="10" borderId="0" xfId="0" applyFont="1" applyFill="1" applyAlignment="1">
      <alignment vertical="top"/>
    </xf>
    <xf numFmtId="0" fontId="25" fillId="0" borderId="18" xfId="0" applyFont="1" applyBorder="1" applyAlignment="1">
      <alignment horizontal="left" vertical="top" wrapText="1"/>
    </xf>
    <xf numFmtId="0" fontId="27" fillId="0" borderId="18" xfId="0" applyFont="1" applyBorder="1" applyAlignment="1">
      <alignment horizontal="left" vertical="top" wrapText="1"/>
    </xf>
    <xf numFmtId="0" fontId="34" fillId="9" borderId="0" xfId="4" applyFont="1" applyFill="1"/>
    <xf numFmtId="0" fontId="0" fillId="0" borderId="0" xfId="0" applyAlignment="1">
      <alignment horizontal="right"/>
    </xf>
    <xf numFmtId="0" fontId="7" fillId="4" borderId="4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16" fillId="8" borderId="6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24" fillId="0" borderId="2" xfId="3" applyFont="1" applyBorder="1" applyAlignment="1">
      <alignment horizontal="left"/>
    </xf>
    <xf numFmtId="0" fontId="23" fillId="0" borderId="2" xfId="3" applyFont="1" applyBorder="1" applyAlignment="1">
      <alignment horizontal="left"/>
    </xf>
    <xf numFmtId="0" fontId="30" fillId="8" borderId="6" xfId="0" applyFont="1" applyFill="1" applyBorder="1" applyAlignment="1">
      <alignment horizontal="center" vertical="center"/>
    </xf>
    <xf numFmtId="0" fontId="30" fillId="8" borderId="0" xfId="0" applyFont="1" applyFill="1" applyAlignment="1">
      <alignment horizontal="center" vertical="center"/>
    </xf>
    <xf numFmtId="0" fontId="25" fillId="0" borderId="0" xfId="0" applyFont="1" applyAlignment="1">
      <alignment horizontal="left" vertical="top" wrapText="1"/>
    </xf>
    <xf numFmtId="0" fontId="25" fillId="0" borderId="15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15" xfId="0" applyFont="1" applyBorder="1" applyAlignment="1">
      <alignment horizontal="left" vertical="top" wrapText="1"/>
    </xf>
  </cellXfs>
  <cellStyles count="5">
    <cellStyle name="Comma" xfId="1" builtinId="3"/>
    <cellStyle name="Hyperlink 2" xfId="4" xr:uid="{FD01CAAA-231D-4888-B41D-32F558BD0A3F}"/>
    <cellStyle name="Normal" xfId="0" builtinId="0"/>
    <cellStyle name="Normal 2" xfId="3" xr:uid="{FB48BCE7-FA69-4C77-BEF0-C2DBD661B752}"/>
    <cellStyle name="Percent" xfId="2" builtinId="5"/>
  </cellStyles>
  <dxfs count="0"/>
  <tableStyles count="0" defaultTableStyle="TableStyleMedium2" defaultPivotStyle="PivotStyleLight16"/>
  <colors>
    <mruColors>
      <color rgb="FF0A90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belajarexcel.id/xl-test/jawaban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670561</xdr:colOff>
      <xdr:row>12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6347F8-7FC4-4051-9D3B-0F6AFD7DB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0149840" cy="2537460"/>
        </a:xfrm>
        <a:prstGeom prst="rect">
          <a:avLst/>
        </a:prstGeom>
      </xdr:spPr>
    </xdr:pic>
    <xdr:clientData/>
  </xdr:twoCellAnchor>
  <xdr:twoCellAnchor>
    <xdr:from>
      <xdr:col>3</xdr:col>
      <xdr:colOff>525780</xdr:colOff>
      <xdr:row>33</xdr:row>
      <xdr:rowOff>60960</xdr:rowOff>
    </xdr:from>
    <xdr:to>
      <xdr:col>4</xdr:col>
      <xdr:colOff>990600</xdr:colOff>
      <xdr:row>35</xdr:row>
      <xdr:rowOff>15240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D665CF-719B-4B5E-999D-1E335BCA09D0}"/>
            </a:ext>
          </a:extLst>
        </xdr:cNvPr>
        <xdr:cNvSpPr/>
      </xdr:nvSpPr>
      <xdr:spPr>
        <a:xfrm>
          <a:off x="2110740" y="6499860"/>
          <a:ext cx="162306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11</xdr:col>
      <xdr:colOff>91440</xdr:colOff>
      <xdr:row>0</xdr:row>
      <xdr:rowOff>45720</xdr:rowOff>
    </xdr:from>
    <xdr:ext cx="1119730" cy="40543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63F6672-FE7C-49F5-9B1E-31CCA8AB3A28}"/>
            </a:ext>
          </a:extLst>
        </xdr:cNvPr>
        <xdr:cNvSpPr txBox="1"/>
      </xdr:nvSpPr>
      <xdr:spPr>
        <a:xfrm>
          <a:off x="10393680" y="45720"/>
          <a:ext cx="111973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2000" b="1">
              <a:solidFill>
                <a:schemeClr val="bg1"/>
              </a:solidFill>
            </a:rPr>
            <a:t>SBEE003</a:t>
          </a:r>
        </a:p>
      </xdr:txBody>
    </xdr:sp>
    <xdr:clientData/>
  </xdr:oneCellAnchor>
  <xdr:twoCellAnchor editAs="oneCell">
    <xdr:from>
      <xdr:col>7</xdr:col>
      <xdr:colOff>15240</xdr:colOff>
      <xdr:row>10</xdr:row>
      <xdr:rowOff>121920</xdr:rowOff>
    </xdr:from>
    <xdr:to>
      <xdr:col>8</xdr:col>
      <xdr:colOff>985520</xdr:colOff>
      <xdr:row>15</xdr:row>
      <xdr:rowOff>175260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273E92D-6BA9-4CF7-8EDF-26035A1F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2103120"/>
          <a:ext cx="1511300" cy="64770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571500</xdr:colOff>
      <xdr:row>0</xdr:row>
      <xdr:rowOff>0</xdr:rowOff>
    </xdr:from>
    <xdr:to>
      <xdr:col>12</xdr:col>
      <xdr:colOff>38100</xdr:colOff>
      <xdr:row>12</xdr:row>
      <xdr:rowOff>174788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4772E1A-59E6-4B01-8DD6-1097AED31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50780" y="0"/>
          <a:ext cx="1638300" cy="2552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10107228-04A8-4007-9122-26098CDA2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twoCellAnchor editAs="oneCell">
    <xdr:from>
      <xdr:col>1</xdr:col>
      <xdr:colOff>655320</xdr:colOff>
      <xdr:row>1</xdr:row>
      <xdr:rowOff>0</xdr:rowOff>
    </xdr:from>
    <xdr:to>
      <xdr:col>4</xdr:col>
      <xdr:colOff>335280</xdr:colOff>
      <xdr:row>14</xdr:row>
      <xdr:rowOff>91692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B2886E-5423-4279-A2B1-043908483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560" y="182880"/>
          <a:ext cx="1584960" cy="2469132"/>
        </a:xfrm>
        <a:prstGeom prst="rect">
          <a:avLst/>
        </a:prstGeom>
      </xdr:spPr>
    </xdr:pic>
    <xdr:clientData/>
  </xdr:two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5" name="Picture 4">
          <a:extLst>
            <a:ext uri="{FF2B5EF4-FFF2-40B4-BE49-F238E27FC236}">
              <a16:creationId xmlns:a16="http://schemas.microsoft.com/office/drawing/2014/main" id="{FA107362-3102-4E16-A069-5E462904B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ADAF-8E00-40FD-B9E9-F1F73396BA94}">
  <sheetPr codeName="Sheet1">
    <outlinePr summaryBelow="0" summaryRight="0"/>
  </sheetPr>
  <dimension ref="A14:AB73"/>
  <sheetViews>
    <sheetView showGridLines="0" tabSelected="1" topLeftCell="A45" zoomScaleNormal="100" workbookViewId="0">
      <selection activeCell="O64" sqref="O64"/>
    </sheetView>
  </sheetViews>
  <sheetFormatPr defaultColWidth="12.5546875" defaultRowHeight="15.75" customHeight="1"/>
  <cols>
    <col min="1" max="2" width="6.5546875" customWidth="1"/>
    <col min="3" max="3" width="10" bestFit="1" customWidth="1"/>
    <col min="4" max="4" width="16.88671875" customWidth="1"/>
    <col min="5" max="5" width="23.109375" customWidth="1"/>
    <col min="6" max="6" width="14.6640625" bestFit="1" customWidth="1"/>
    <col min="7" max="7" width="15.109375" customWidth="1"/>
    <col min="8" max="8" width="7.88671875" customWidth="1"/>
    <col min="9" max="9" width="15.88671875" customWidth="1"/>
    <col min="10" max="10" width="21.5546875" customWidth="1"/>
    <col min="11" max="11" width="12" customWidth="1"/>
    <col min="12" max="12" width="19.6640625" bestFit="1" customWidth="1"/>
    <col min="13" max="13" width="4.21875" customWidth="1"/>
    <col min="14" max="14" width="16.88671875" customWidth="1"/>
    <col min="15" max="15" width="24.33203125" bestFit="1" customWidth="1"/>
    <col min="16" max="16" width="13.88671875" customWidth="1"/>
    <col min="17" max="17" width="12.6640625" customWidth="1"/>
    <col min="18" max="18" width="14.109375" customWidth="1"/>
  </cols>
  <sheetData>
    <row r="14" ht="15.75" hidden="1" customHeight="1"/>
    <row r="15" ht="15.75" hidden="1" customHeight="1"/>
    <row r="17" spans="1:12" ht="13.8"/>
    <row r="19" spans="1:12" ht="22.8">
      <c r="A19" s="70" t="s">
        <v>56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</row>
    <row r="20" spans="1:12" ht="15.75" customHeight="1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ht="15.75" customHeight="1">
      <c r="A21" s="26"/>
      <c r="B21" s="62" t="s">
        <v>87</v>
      </c>
      <c r="C21" s="63" t="s">
        <v>88</v>
      </c>
      <c r="D21" s="26"/>
      <c r="E21" s="26"/>
      <c r="F21" s="26"/>
      <c r="G21" s="26"/>
      <c r="H21" s="26"/>
      <c r="I21" s="26"/>
      <c r="J21" s="26"/>
      <c r="K21" s="26"/>
      <c r="L21" s="27"/>
    </row>
    <row r="22" spans="1:12" ht="15.75" customHeight="1">
      <c r="A22" s="25"/>
      <c r="B22" s="19" t="s">
        <v>89</v>
      </c>
      <c r="E22" s="26"/>
      <c r="F22" s="25"/>
      <c r="G22" s="25"/>
      <c r="H22" s="26"/>
      <c r="I22" s="26"/>
      <c r="J22" s="26"/>
      <c r="K22" s="26"/>
      <c r="L22" s="27"/>
    </row>
    <row r="23" spans="1:12" ht="15.75" customHeight="1">
      <c r="A23" s="25"/>
      <c r="B23" s="16">
        <v>1</v>
      </c>
      <c r="C23" t="s">
        <v>81</v>
      </c>
      <c r="E23" s="26"/>
      <c r="F23" s="25"/>
      <c r="G23" s="25"/>
      <c r="H23" s="26"/>
      <c r="I23" s="26"/>
      <c r="J23" s="26"/>
      <c r="K23" s="26"/>
      <c r="L23" s="27"/>
    </row>
    <row r="24" spans="1:12" ht="15.75" customHeight="1">
      <c r="A24" s="25"/>
      <c r="B24" s="16">
        <v>2</v>
      </c>
      <c r="C24" t="s">
        <v>82</v>
      </c>
      <c r="E24" s="26"/>
      <c r="F24" s="25"/>
      <c r="G24" s="25"/>
      <c r="H24" s="26"/>
      <c r="I24" s="26"/>
      <c r="J24" s="26"/>
      <c r="K24" s="26"/>
      <c r="L24" s="27"/>
    </row>
    <row r="25" spans="1:12" ht="15.75" customHeight="1">
      <c r="A25" s="25"/>
      <c r="B25" s="16">
        <v>3</v>
      </c>
      <c r="C25" t="s">
        <v>83</v>
      </c>
      <c r="E25" s="26"/>
      <c r="F25" s="25"/>
      <c r="G25" s="25"/>
      <c r="H25" s="26"/>
      <c r="I25" s="26"/>
      <c r="J25" s="26"/>
      <c r="K25" s="26"/>
      <c r="L25" s="27"/>
    </row>
    <row r="26" spans="1:12" ht="15.75" customHeight="1">
      <c r="A26" s="25"/>
      <c r="B26" s="16">
        <v>4</v>
      </c>
      <c r="C26" t="s">
        <v>34</v>
      </c>
      <c r="E26" s="26"/>
      <c r="F26" s="25"/>
      <c r="G26" s="25"/>
      <c r="H26" s="26"/>
      <c r="I26" s="26"/>
      <c r="J26" s="26"/>
      <c r="K26" s="26"/>
      <c r="L26" s="27"/>
    </row>
    <row r="27" spans="1:12" ht="15.75" customHeight="1">
      <c r="A27" s="25"/>
      <c r="B27" s="16">
        <v>5</v>
      </c>
      <c r="C27" t="s">
        <v>36</v>
      </c>
      <c r="E27" s="26"/>
      <c r="F27" s="25"/>
      <c r="G27" s="25"/>
      <c r="H27" s="26"/>
      <c r="I27" s="26"/>
      <c r="J27" s="26"/>
      <c r="K27" s="26"/>
      <c r="L27" s="27"/>
    </row>
    <row r="28" spans="1:12" ht="15.75" customHeight="1">
      <c r="A28" s="25"/>
      <c r="C28" t="s">
        <v>35</v>
      </c>
      <c r="E28" s="26"/>
      <c r="F28" s="25"/>
      <c r="G28" s="25"/>
      <c r="H28" s="26"/>
      <c r="I28" s="26"/>
      <c r="J28" s="26"/>
      <c r="K28" s="26"/>
      <c r="L28" s="27"/>
    </row>
    <row r="29" spans="1:12" ht="15.75" customHeight="1">
      <c r="A29" s="25"/>
      <c r="B29" s="16">
        <v>6</v>
      </c>
      <c r="C29" t="s">
        <v>37</v>
      </c>
      <c r="E29" s="26"/>
      <c r="F29" s="25"/>
      <c r="G29" s="25"/>
      <c r="H29" s="26"/>
      <c r="I29" s="26"/>
      <c r="J29" s="26"/>
      <c r="K29" s="26"/>
      <c r="L29" s="27"/>
    </row>
    <row r="30" spans="1:12" ht="15.75" customHeight="1">
      <c r="A30" s="25"/>
      <c r="B30" s="16">
        <v>7</v>
      </c>
      <c r="C30" t="s">
        <v>92</v>
      </c>
      <c r="E30" s="26"/>
      <c r="F30" s="25"/>
      <c r="G30" s="25"/>
      <c r="H30" s="26"/>
      <c r="I30" s="26"/>
      <c r="J30" s="26"/>
      <c r="K30" s="26"/>
      <c r="L30" s="27"/>
    </row>
    <row r="31" spans="1:12" ht="15.75" customHeight="1">
      <c r="A31" s="25"/>
      <c r="B31" s="16">
        <v>8</v>
      </c>
      <c r="C31" t="s">
        <v>93</v>
      </c>
      <c r="E31" s="26"/>
      <c r="F31" s="25"/>
      <c r="G31" s="25"/>
      <c r="H31" s="26"/>
      <c r="I31" s="26"/>
      <c r="J31" s="26"/>
      <c r="K31" s="26"/>
      <c r="L31" s="27"/>
    </row>
    <row r="32" spans="1:12" ht="15.75" customHeight="1">
      <c r="A32" s="25"/>
      <c r="C32" s="25"/>
      <c r="D32" s="26"/>
      <c r="E32" s="26"/>
      <c r="F32" s="25"/>
      <c r="G32" s="25"/>
      <c r="H32" s="26"/>
      <c r="I32" s="26"/>
      <c r="J32" s="26"/>
      <c r="K32" s="26"/>
      <c r="L32" s="27"/>
    </row>
    <row r="33" spans="1:28" ht="15.75" customHeight="1">
      <c r="A33" s="25"/>
      <c r="B33" s="28" t="s">
        <v>57</v>
      </c>
      <c r="C33" s="25"/>
      <c r="D33" s="26"/>
      <c r="E33" s="26"/>
      <c r="F33" s="25"/>
      <c r="G33" s="25"/>
      <c r="H33" s="26"/>
      <c r="I33" s="26"/>
      <c r="J33" s="26"/>
      <c r="K33" s="26"/>
      <c r="L33" s="27"/>
    </row>
    <row r="34" spans="1:28" ht="15.75" customHeight="1">
      <c r="A34" s="29"/>
      <c r="B34" s="28" t="s">
        <v>58</v>
      </c>
      <c r="C34" s="26"/>
      <c r="D34" s="26"/>
      <c r="E34" s="26"/>
      <c r="F34" s="25"/>
      <c r="G34" s="25"/>
      <c r="H34" s="26"/>
      <c r="I34" s="26"/>
      <c r="J34" s="26"/>
      <c r="K34" s="26"/>
      <c r="L34" s="27"/>
    </row>
    <row r="35" spans="1:28" ht="15.75" customHeight="1">
      <c r="A35" s="29"/>
      <c r="B35" s="28"/>
      <c r="C35" s="26"/>
      <c r="D35" s="26"/>
      <c r="E35" s="26"/>
      <c r="F35" s="25"/>
      <c r="G35" s="25"/>
      <c r="H35" s="26"/>
      <c r="I35" s="26"/>
      <c r="J35" s="26"/>
      <c r="K35" s="26"/>
      <c r="L35" s="27"/>
    </row>
    <row r="36" spans="1:28" ht="15.75" customHeight="1">
      <c r="A36" s="30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28" ht="22.8">
      <c r="A37" s="7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</row>
    <row r="38" spans="1:28" ht="15.6">
      <c r="A38" s="34"/>
      <c r="C38" s="34"/>
      <c r="D38" s="34"/>
      <c r="E38" s="34"/>
      <c r="F38" s="34"/>
      <c r="G38" s="34"/>
      <c r="H38" s="34"/>
      <c r="I38" s="34"/>
      <c r="J38" s="34"/>
      <c r="K38" s="34"/>
      <c r="L38" s="34"/>
    </row>
    <row r="39" spans="1:28" ht="23.4">
      <c r="A39" s="34"/>
      <c r="B39" s="72" t="s">
        <v>86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</row>
    <row r="40" spans="1:28" ht="23.4">
      <c r="A40" s="34"/>
      <c r="B40" s="72" t="s">
        <v>0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</row>
    <row r="41" spans="1:28" ht="15.6">
      <c r="A41" s="34"/>
    </row>
    <row r="42" spans="1:28" ht="14.4" thickBot="1"/>
    <row r="43" spans="1:28" ht="15.75" customHeight="1" thickBot="1">
      <c r="E43" s="35">
        <v>1</v>
      </c>
      <c r="G43" s="35">
        <v>2</v>
      </c>
      <c r="I43" s="35">
        <v>3</v>
      </c>
      <c r="J43" s="35">
        <v>4</v>
      </c>
      <c r="K43" s="35">
        <v>5</v>
      </c>
      <c r="L43" s="35">
        <v>6</v>
      </c>
    </row>
    <row r="44" spans="1:28" ht="33" customHeight="1">
      <c r="A44" s="77" t="s">
        <v>1</v>
      </c>
      <c r="B44" s="78"/>
      <c r="C44" s="9" t="s">
        <v>2</v>
      </c>
      <c r="D44" s="9" t="s">
        <v>3</v>
      </c>
      <c r="E44" s="9" t="s">
        <v>4</v>
      </c>
      <c r="F44" s="9" t="s">
        <v>5</v>
      </c>
      <c r="G44" s="9" t="s">
        <v>6</v>
      </c>
      <c r="H44" s="9" t="s">
        <v>7</v>
      </c>
      <c r="I44" s="9" t="s">
        <v>8</v>
      </c>
      <c r="J44" s="9" t="s">
        <v>9</v>
      </c>
      <c r="K44" s="9" t="s">
        <v>10</v>
      </c>
      <c r="L44" s="9" t="s">
        <v>11</v>
      </c>
      <c r="M44" s="1"/>
      <c r="O44" s="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9.95" customHeight="1">
      <c r="A45" s="79" t="s">
        <v>59</v>
      </c>
      <c r="B45" s="80"/>
      <c r="C45" s="56" t="s">
        <v>13</v>
      </c>
      <c r="D45" s="56" t="s">
        <v>18</v>
      </c>
      <c r="E45" s="57" t="s">
        <v>23</v>
      </c>
      <c r="F45" s="56" t="s">
        <v>19</v>
      </c>
      <c r="G45" s="57" t="s">
        <v>29</v>
      </c>
      <c r="H45" s="58">
        <v>350</v>
      </c>
      <c r="I45" s="59">
        <v>425000</v>
      </c>
      <c r="J45" s="59">
        <v>148750000</v>
      </c>
      <c r="K45" s="60">
        <v>0.1</v>
      </c>
      <c r="L45" s="59">
        <v>133875000</v>
      </c>
      <c r="M45" s="1"/>
      <c r="N45" s="2" t="s">
        <v>12</v>
      </c>
      <c r="O45" s="3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5.4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1"/>
      <c r="O46" s="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8" customHeight="1">
      <c r="A47" s="68">
        <v>1</v>
      </c>
      <c r="B47" s="69"/>
      <c r="C47" s="10" t="s">
        <v>13</v>
      </c>
      <c r="D47" s="10" t="s">
        <v>14</v>
      </c>
      <c r="E47" s="20" t="str">
        <f>VLOOKUP(D47,$N$47:$O$50,2,)</f>
        <v>Toko Ahmad Budiman</v>
      </c>
      <c r="F47" s="10" t="s">
        <v>15</v>
      </c>
      <c r="G47" s="20" t="str">
        <f>HLOOKUP(F47,$N$53:$R$55,2,)</f>
        <v>Besi 5 Meter</v>
      </c>
      <c r="H47" s="11">
        <v>240</v>
      </c>
      <c r="I47" s="12">
        <f>HLOOKUP(F47,$N$53:$R$55,3,)</f>
        <v>250000</v>
      </c>
      <c r="J47" s="12">
        <f>I47*H47</f>
        <v>60000000</v>
      </c>
      <c r="K47" s="13" cm="1">
        <f t="array" ref="K47">_xlfn.IFS(H47&gt;500, 20%,H47&gt;200, 10%, H47&lt;200, 0)</f>
        <v>0.1</v>
      </c>
      <c r="L47" s="12">
        <f>J47-(J47*K47)</f>
        <v>54000000</v>
      </c>
      <c r="N47" s="36" t="s">
        <v>16</v>
      </c>
      <c r="O47" s="36" t="s">
        <v>4</v>
      </c>
    </row>
    <row r="48" spans="1:28" ht="18" customHeight="1">
      <c r="A48" s="68">
        <v>2</v>
      </c>
      <c r="B48" s="69"/>
      <c r="C48" s="10" t="s">
        <v>13</v>
      </c>
      <c r="D48" s="10" t="s">
        <v>18</v>
      </c>
      <c r="E48" s="20" t="str">
        <f t="shared" ref="E48:E61" si="0">VLOOKUP(D48,$N$47:$O$50,2,)</f>
        <v>Toko Beni Kusuma</v>
      </c>
      <c r="F48" s="10" t="s">
        <v>19</v>
      </c>
      <c r="G48" s="20" t="str">
        <f t="shared" ref="G48:G61" si="1">HLOOKUP(F48,$N$53:$R$55,2,)</f>
        <v>Besi 10 Meter</v>
      </c>
      <c r="H48" s="11">
        <v>350</v>
      </c>
      <c r="I48" s="12">
        <f t="shared" ref="I48:I61" si="2">HLOOKUP(F48,$N$53:$R$55,3,)</f>
        <v>425000</v>
      </c>
      <c r="J48" s="12">
        <f t="shared" ref="J48:J61" si="3">I48*H48</f>
        <v>148750000</v>
      </c>
      <c r="K48" s="13" cm="1">
        <f t="array" ref="K48">_xlfn.IFS(H48&gt;500, 20%,H48&gt;200, 10%, H48&lt;200, 0)</f>
        <v>0.1</v>
      </c>
      <c r="L48" s="12">
        <f t="shared" ref="L48:L61" si="4">J48-(J48*K48)</f>
        <v>133875000</v>
      </c>
      <c r="N48" s="37" t="s">
        <v>14</v>
      </c>
      <c r="O48" s="37" t="s">
        <v>20</v>
      </c>
    </row>
    <row r="49" spans="1:18" ht="18" customHeight="1">
      <c r="A49" s="68">
        <v>3</v>
      </c>
      <c r="B49" s="69"/>
      <c r="C49" s="10" t="s">
        <v>13</v>
      </c>
      <c r="D49" s="10" t="s">
        <v>21</v>
      </c>
      <c r="E49" s="20" t="str">
        <f t="shared" si="0"/>
        <v>Toko Chris John</v>
      </c>
      <c r="F49" s="10" t="s">
        <v>22</v>
      </c>
      <c r="G49" s="20" t="str">
        <f t="shared" si="1"/>
        <v>Pipa 5 Meter</v>
      </c>
      <c r="H49" s="11">
        <v>130</v>
      </c>
      <c r="I49" s="12">
        <f t="shared" si="2"/>
        <v>78000</v>
      </c>
      <c r="J49" s="12">
        <f t="shared" si="3"/>
        <v>10140000</v>
      </c>
      <c r="K49" s="13" cm="1">
        <f t="array" ref="K49">_xlfn.IFS(H49&gt;500, 20%,H49&gt;200, 10%, H49&lt;200, 0)</f>
        <v>0</v>
      </c>
      <c r="L49" s="12">
        <f t="shared" si="4"/>
        <v>10140000</v>
      </c>
      <c r="N49" s="37" t="s">
        <v>18</v>
      </c>
      <c r="O49" s="37" t="s">
        <v>23</v>
      </c>
    </row>
    <row r="50" spans="1:18" ht="18" customHeight="1">
      <c r="A50" s="68">
        <v>4</v>
      </c>
      <c r="B50" s="69"/>
      <c r="C50" s="10" t="s">
        <v>24</v>
      </c>
      <c r="D50" s="10" t="s">
        <v>21</v>
      </c>
      <c r="E50" s="20" t="str">
        <f t="shared" si="0"/>
        <v>Toko Chris John</v>
      </c>
      <c r="F50" s="10" t="s">
        <v>25</v>
      </c>
      <c r="G50" s="20" t="str">
        <f t="shared" si="1"/>
        <v>Pipa 10 Meter</v>
      </c>
      <c r="H50" s="11">
        <v>560</v>
      </c>
      <c r="I50" s="12">
        <f t="shared" si="2"/>
        <v>140000</v>
      </c>
      <c r="J50" s="12">
        <f t="shared" si="3"/>
        <v>78400000</v>
      </c>
      <c r="K50" s="13" cm="1">
        <f t="array" ref="K50">_xlfn.IFS(H50&gt;500, 20%,H50&gt;200, 10%, H50&lt;200, 0)</f>
        <v>0.2</v>
      </c>
      <c r="L50" s="12">
        <f t="shared" si="4"/>
        <v>62720000</v>
      </c>
      <c r="N50" s="37" t="s">
        <v>21</v>
      </c>
      <c r="O50" s="37" t="s">
        <v>26</v>
      </c>
    </row>
    <row r="51" spans="1:18" ht="18" customHeight="1">
      <c r="A51" s="68">
        <v>5</v>
      </c>
      <c r="B51" s="69"/>
      <c r="C51" s="10" t="s">
        <v>24</v>
      </c>
      <c r="D51" s="10" t="s">
        <v>18</v>
      </c>
      <c r="E51" s="20" t="str">
        <f t="shared" si="0"/>
        <v>Toko Beni Kusuma</v>
      </c>
      <c r="F51" s="10" t="s">
        <v>15</v>
      </c>
      <c r="G51" s="20" t="str">
        <f t="shared" si="1"/>
        <v>Besi 5 Meter</v>
      </c>
      <c r="H51" s="11">
        <v>780</v>
      </c>
      <c r="I51" s="12">
        <f t="shared" si="2"/>
        <v>250000</v>
      </c>
      <c r="J51" s="12">
        <f t="shared" si="3"/>
        <v>195000000</v>
      </c>
      <c r="K51" s="13" cm="1">
        <f t="array" ref="K51">_xlfn.IFS(H51&gt;500, 20%,H51&gt;200, 10%, H51&lt;200, 0)</f>
        <v>0.2</v>
      </c>
      <c r="L51" s="12">
        <f t="shared" si="4"/>
        <v>156000000</v>
      </c>
      <c r="N51" s="4"/>
      <c r="O51" s="4"/>
    </row>
    <row r="52" spans="1:18" ht="18" customHeight="1">
      <c r="A52" s="68">
        <v>6</v>
      </c>
      <c r="B52" s="69"/>
      <c r="C52" s="10" t="s">
        <v>24</v>
      </c>
      <c r="D52" s="10" t="s">
        <v>14</v>
      </c>
      <c r="E52" s="20" t="str">
        <f t="shared" si="0"/>
        <v>Toko Ahmad Budiman</v>
      </c>
      <c r="F52" s="10" t="s">
        <v>19</v>
      </c>
      <c r="G52" s="20" t="str">
        <f t="shared" si="1"/>
        <v>Besi 10 Meter</v>
      </c>
      <c r="H52" s="11">
        <v>890</v>
      </c>
      <c r="I52" s="12">
        <f t="shared" si="2"/>
        <v>425000</v>
      </c>
      <c r="J52" s="12">
        <f t="shared" si="3"/>
        <v>378250000</v>
      </c>
      <c r="K52" s="13" cm="1">
        <f t="array" ref="K52">_xlfn.IFS(H52&gt;500, 20%,H52&gt;200, 10%, H52&lt;200, 0)</f>
        <v>0.2</v>
      </c>
      <c r="L52" s="12">
        <f t="shared" si="4"/>
        <v>302600000</v>
      </c>
      <c r="N52" s="5" t="s">
        <v>27</v>
      </c>
      <c r="O52" s="6"/>
      <c r="P52" s="6"/>
      <c r="Q52" s="6"/>
      <c r="R52" s="6"/>
    </row>
    <row r="53" spans="1:18" ht="18" customHeight="1">
      <c r="A53" s="68">
        <v>7</v>
      </c>
      <c r="B53" s="69"/>
      <c r="C53" s="10" t="s">
        <v>24</v>
      </c>
      <c r="D53" s="10" t="s">
        <v>18</v>
      </c>
      <c r="E53" s="20" t="str">
        <f t="shared" si="0"/>
        <v>Toko Beni Kusuma</v>
      </c>
      <c r="F53" s="10" t="s">
        <v>22</v>
      </c>
      <c r="G53" s="20" t="str">
        <f t="shared" si="1"/>
        <v>Pipa 5 Meter</v>
      </c>
      <c r="H53" s="11">
        <v>420</v>
      </c>
      <c r="I53" s="12">
        <f t="shared" si="2"/>
        <v>78000</v>
      </c>
      <c r="J53" s="12">
        <f t="shared" si="3"/>
        <v>32760000</v>
      </c>
      <c r="K53" s="13" cm="1">
        <f t="array" ref="K53">_xlfn.IFS(H53&gt;500, 20%,H53&gt;200, 10%, H53&lt;200, 0)</f>
        <v>0.1</v>
      </c>
      <c r="L53" s="12">
        <f t="shared" si="4"/>
        <v>29484000</v>
      </c>
      <c r="N53" s="38" t="s">
        <v>16</v>
      </c>
      <c r="O53" s="39" t="s">
        <v>15</v>
      </c>
      <c r="P53" s="39" t="s">
        <v>19</v>
      </c>
      <c r="Q53" s="39" t="s">
        <v>22</v>
      </c>
      <c r="R53" s="39" t="s">
        <v>25</v>
      </c>
    </row>
    <row r="54" spans="1:18" ht="18" customHeight="1">
      <c r="A54" s="68">
        <v>8</v>
      </c>
      <c r="B54" s="69"/>
      <c r="C54" s="10" t="s">
        <v>24</v>
      </c>
      <c r="D54" s="10" t="s">
        <v>14</v>
      </c>
      <c r="E54" s="20" t="str">
        <f t="shared" si="0"/>
        <v>Toko Ahmad Budiman</v>
      </c>
      <c r="F54" s="10" t="s">
        <v>25</v>
      </c>
      <c r="G54" s="20" t="str">
        <f t="shared" si="1"/>
        <v>Pipa 10 Meter</v>
      </c>
      <c r="H54" s="11">
        <v>110</v>
      </c>
      <c r="I54" s="12">
        <f t="shared" si="2"/>
        <v>140000</v>
      </c>
      <c r="J54" s="12">
        <f t="shared" si="3"/>
        <v>15400000</v>
      </c>
      <c r="K54" s="13" cm="1">
        <f t="array" ref="K54">_xlfn.IFS(H54&gt;500, 20%,H54&gt;200, 10%, H54&lt;200, 0)</f>
        <v>0</v>
      </c>
      <c r="L54" s="12">
        <f t="shared" si="4"/>
        <v>15400000</v>
      </c>
      <c r="N54" s="38" t="s">
        <v>17</v>
      </c>
      <c r="O54" s="18" t="s">
        <v>28</v>
      </c>
      <c r="P54" s="18" t="s">
        <v>29</v>
      </c>
      <c r="Q54" s="18" t="s">
        <v>30</v>
      </c>
      <c r="R54" s="18" t="s">
        <v>31</v>
      </c>
    </row>
    <row r="55" spans="1:18" ht="18" customHeight="1">
      <c r="A55" s="68">
        <v>9</v>
      </c>
      <c r="B55" s="69"/>
      <c r="C55" s="10" t="s">
        <v>24</v>
      </c>
      <c r="D55" s="10" t="s">
        <v>21</v>
      </c>
      <c r="E55" s="20" t="str">
        <f t="shared" si="0"/>
        <v>Toko Chris John</v>
      </c>
      <c r="F55" s="10" t="s">
        <v>15</v>
      </c>
      <c r="G55" s="20" t="str">
        <f t="shared" si="1"/>
        <v>Besi 5 Meter</v>
      </c>
      <c r="H55" s="11">
        <v>720</v>
      </c>
      <c r="I55" s="12">
        <f t="shared" si="2"/>
        <v>250000</v>
      </c>
      <c r="J55" s="12">
        <f t="shared" si="3"/>
        <v>180000000</v>
      </c>
      <c r="K55" s="13" cm="1">
        <f t="array" ref="K55">_xlfn.IFS(H55&gt;500, 20%,H55&gt;200, 10%, H55&lt;200, 0)</f>
        <v>0.2</v>
      </c>
      <c r="L55" s="12">
        <f t="shared" si="4"/>
        <v>144000000</v>
      </c>
      <c r="N55" s="38" t="s">
        <v>8</v>
      </c>
      <c r="O55" s="18">
        <v>250000</v>
      </c>
      <c r="P55" s="18">
        <v>425000</v>
      </c>
      <c r="Q55" s="18">
        <v>78000</v>
      </c>
      <c r="R55" s="18">
        <v>140000</v>
      </c>
    </row>
    <row r="56" spans="1:18" ht="18" customHeight="1">
      <c r="A56" s="68">
        <v>10</v>
      </c>
      <c r="B56" s="69"/>
      <c r="C56" s="10" t="s">
        <v>24</v>
      </c>
      <c r="D56" s="10" t="s">
        <v>18</v>
      </c>
      <c r="E56" s="20" t="str">
        <f t="shared" si="0"/>
        <v>Toko Beni Kusuma</v>
      </c>
      <c r="F56" s="10" t="s">
        <v>19</v>
      </c>
      <c r="G56" s="20" t="str">
        <f t="shared" si="1"/>
        <v>Besi 10 Meter</v>
      </c>
      <c r="H56" s="11">
        <v>120</v>
      </c>
      <c r="I56" s="12">
        <f t="shared" si="2"/>
        <v>425000</v>
      </c>
      <c r="J56" s="12">
        <f t="shared" si="3"/>
        <v>51000000</v>
      </c>
      <c r="K56" s="13" cm="1">
        <f t="array" ref="K56">_xlfn.IFS(H56&gt;500, 20%,H56&gt;200, 10%, H56&lt;200, 0)</f>
        <v>0</v>
      </c>
      <c r="L56" s="12">
        <f t="shared" si="4"/>
        <v>51000000</v>
      </c>
      <c r="N56" s="7"/>
      <c r="O56" s="7"/>
      <c r="P56" s="7"/>
    </row>
    <row r="57" spans="1:18" ht="18" customHeight="1">
      <c r="A57" s="68">
        <v>11</v>
      </c>
      <c r="B57" s="69"/>
      <c r="C57" s="10" t="s">
        <v>24</v>
      </c>
      <c r="D57" s="10" t="s">
        <v>14</v>
      </c>
      <c r="E57" s="20" t="str">
        <f t="shared" si="0"/>
        <v>Toko Ahmad Budiman</v>
      </c>
      <c r="F57" s="10" t="s">
        <v>22</v>
      </c>
      <c r="G57" s="20" t="str">
        <f t="shared" si="1"/>
        <v>Pipa 5 Meter</v>
      </c>
      <c r="H57" s="11">
        <v>120</v>
      </c>
      <c r="I57" s="12">
        <f t="shared" si="2"/>
        <v>78000</v>
      </c>
      <c r="J57" s="12">
        <f t="shared" si="3"/>
        <v>9360000</v>
      </c>
      <c r="K57" s="13" cm="1">
        <f t="array" ref="K57">_xlfn.IFS(H57&gt;500, 20%,H57&gt;200, 10%, H57&lt;200, 0)</f>
        <v>0</v>
      </c>
      <c r="L57" s="12">
        <f t="shared" si="4"/>
        <v>9360000</v>
      </c>
    </row>
    <row r="58" spans="1:18" ht="18" customHeight="1">
      <c r="A58" s="68">
        <v>12</v>
      </c>
      <c r="B58" s="69"/>
      <c r="C58" s="10" t="s">
        <v>24</v>
      </c>
      <c r="D58" s="10" t="s">
        <v>14</v>
      </c>
      <c r="E58" s="20" t="str">
        <f t="shared" si="0"/>
        <v>Toko Ahmad Budiman</v>
      </c>
      <c r="F58" s="10" t="s">
        <v>25</v>
      </c>
      <c r="G58" s="20" t="str">
        <f t="shared" si="1"/>
        <v>Pipa 10 Meter</v>
      </c>
      <c r="H58" s="11">
        <v>550</v>
      </c>
      <c r="I58" s="12">
        <f t="shared" si="2"/>
        <v>140000</v>
      </c>
      <c r="J58" s="12">
        <f t="shared" si="3"/>
        <v>77000000</v>
      </c>
      <c r="K58" s="13" cm="1">
        <f t="array" ref="K58">_xlfn.IFS(H58&gt;500, 20%,H58&gt;200, 10%, H58&lt;200, 0)</f>
        <v>0.2</v>
      </c>
      <c r="L58" s="12">
        <f t="shared" si="4"/>
        <v>61600000</v>
      </c>
    </row>
    <row r="59" spans="1:18" ht="18" customHeight="1">
      <c r="A59" s="68">
        <v>13</v>
      </c>
      <c r="B59" s="69"/>
      <c r="C59" s="10" t="s">
        <v>24</v>
      </c>
      <c r="D59" s="10" t="s">
        <v>18</v>
      </c>
      <c r="E59" s="20" t="str">
        <f t="shared" si="0"/>
        <v>Toko Beni Kusuma</v>
      </c>
      <c r="F59" s="10" t="s">
        <v>22</v>
      </c>
      <c r="G59" s="20" t="str">
        <f t="shared" si="1"/>
        <v>Pipa 5 Meter</v>
      </c>
      <c r="H59" s="11">
        <v>580</v>
      </c>
      <c r="I59" s="12">
        <f t="shared" si="2"/>
        <v>78000</v>
      </c>
      <c r="J59" s="12">
        <f t="shared" si="3"/>
        <v>45240000</v>
      </c>
      <c r="K59" s="13" cm="1">
        <f t="array" ref="K59">_xlfn.IFS(H59&gt;500, 20%,H59&gt;200, 10%, H59&lt;200, 0)</f>
        <v>0.2</v>
      </c>
      <c r="L59" s="12">
        <f t="shared" si="4"/>
        <v>36192000</v>
      </c>
    </row>
    <row r="60" spans="1:18" ht="18" customHeight="1">
      <c r="A60" s="68">
        <v>14</v>
      </c>
      <c r="B60" s="69"/>
      <c r="C60" s="10" t="s">
        <v>32</v>
      </c>
      <c r="D60" s="10" t="s">
        <v>14</v>
      </c>
      <c r="E60" s="20" t="str">
        <f t="shared" si="0"/>
        <v>Toko Ahmad Budiman</v>
      </c>
      <c r="F60" s="10" t="s">
        <v>25</v>
      </c>
      <c r="G60" s="20" t="str">
        <f t="shared" si="1"/>
        <v>Pipa 10 Meter</v>
      </c>
      <c r="H60" s="11">
        <v>620</v>
      </c>
      <c r="I60" s="12">
        <f t="shared" si="2"/>
        <v>140000</v>
      </c>
      <c r="J60" s="12">
        <f t="shared" si="3"/>
        <v>86800000</v>
      </c>
      <c r="K60" s="13" cm="1">
        <f t="array" ref="K60">_xlfn.IFS(H60&gt;500, 20%,H60&gt;200, 10%, H60&lt;200, 0)</f>
        <v>0.2</v>
      </c>
      <c r="L60" s="12">
        <f t="shared" si="4"/>
        <v>69440000</v>
      </c>
    </row>
    <row r="61" spans="1:18" ht="18" customHeight="1" thickBot="1">
      <c r="A61" s="68">
        <v>15</v>
      </c>
      <c r="B61" s="69"/>
      <c r="C61" s="10" t="s">
        <v>32</v>
      </c>
      <c r="D61" s="10" t="s">
        <v>21</v>
      </c>
      <c r="E61" s="20" t="str">
        <f t="shared" si="0"/>
        <v>Toko Chris John</v>
      </c>
      <c r="F61" s="10" t="s">
        <v>25</v>
      </c>
      <c r="G61" s="20" t="str">
        <f t="shared" si="1"/>
        <v>Pipa 10 Meter</v>
      </c>
      <c r="H61" s="11">
        <v>900</v>
      </c>
      <c r="I61" s="12">
        <f t="shared" si="2"/>
        <v>140000</v>
      </c>
      <c r="J61" s="12">
        <f t="shared" si="3"/>
        <v>126000000</v>
      </c>
      <c r="K61" s="13" cm="1">
        <f t="array" ref="K61">_xlfn.IFS(H61&gt;500, 20%,H61&gt;200, 10%, H61&lt;200, 0)</f>
        <v>0.2</v>
      </c>
      <c r="L61" s="12">
        <f t="shared" si="4"/>
        <v>100800000</v>
      </c>
      <c r="O61" s="17"/>
    </row>
    <row r="62" spans="1:18" ht="18" customHeight="1" thickBot="1">
      <c r="A62" s="81" t="s">
        <v>38</v>
      </c>
      <c r="B62" s="81"/>
      <c r="C62" s="81"/>
      <c r="D62" s="81"/>
      <c r="E62" s="81"/>
      <c r="F62" s="81"/>
      <c r="G62" s="82"/>
      <c r="H62" s="14">
        <f>SUM(H47:H61)</f>
        <v>7090</v>
      </c>
      <c r="I62" s="74" t="s">
        <v>39</v>
      </c>
      <c r="J62" s="75"/>
      <c r="K62" s="76"/>
      <c r="L62" s="14">
        <f>SUM(L47:L61)</f>
        <v>1236611000</v>
      </c>
      <c r="M62" s="35">
        <v>7</v>
      </c>
    </row>
    <row r="63" spans="1:18" ht="18" customHeight="1" thickBot="1">
      <c r="A63" s="83" t="s">
        <v>41</v>
      </c>
      <c r="B63" s="83"/>
      <c r="C63" s="83"/>
      <c r="D63" s="83"/>
      <c r="E63" s="83"/>
      <c r="F63" s="83"/>
      <c r="G63" s="84"/>
      <c r="H63" s="14">
        <f>AVERAGE(H47:H61)</f>
        <v>472.66666666666669</v>
      </c>
      <c r="I63" s="74" t="s">
        <v>40</v>
      </c>
      <c r="J63" s="75"/>
      <c r="K63" s="76"/>
      <c r="L63" s="14">
        <f>AVERAGE(L47:L61)</f>
        <v>82440733.333333328</v>
      </c>
      <c r="M63" s="35">
        <v>8</v>
      </c>
    </row>
    <row r="65" spans="2:2" ht="13.8">
      <c r="B65" s="15"/>
    </row>
    <row r="66" spans="2:2" ht="13.8">
      <c r="B66" s="16"/>
    </row>
    <row r="67" spans="2:2" ht="13.8">
      <c r="B67" s="16"/>
    </row>
    <row r="68" spans="2:2" ht="13.8">
      <c r="B68" s="16"/>
    </row>
    <row r="69" spans="2:2" ht="13.8">
      <c r="B69" s="16"/>
    </row>
    <row r="70" spans="2:2" ht="13.8">
      <c r="B70" s="16"/>
    </row>
    <row r="71" spans="2:2" ht="13.8">
      <c r="B71" s="16"/>
    </row>
    <row r="72" spans="2:2" ht="13.8">
      <c r="B72" s="16"/>
    </row>
    <row r="73" spans="2:2" ht="13.8"/>
  </sheetData>
  <mergeCells count="25">
    <mergeCell ref="I62:K62"/>
    <mergeCell ref="I63:K63"/>
    <mergeCell ref="A44:B44"/>
    <mergeCell ref="A45:B45"/>
    <mergeCell ref="A47:B47"/>
    <mergeCell ref="A48:B48"/>
    <mergeCell ref="A49:B49"/>
    <mergeCell ref="A50:B50"/>
    <mergeCell ref="A51:B51"/>
    <mergeCell ref="A52:B52"/>
    <mergeCell ref="A53:B53"/>
    <mergeCell ref="A54:B54"/>
    <mergeCell ref="A60:B60"/>
    <mergeCell ref="A61:B61"/>
    <mergeCell ref="A62:G62"/>
    <mergeCell ref="A63:G63"/>
    <mergeCell ref="A19:L19"/>
    <mergeCell ref="A37:L37"/>
    <mergeCell ref="B40:L40"/>
    <mergeCell ref="B39:L39"/>
    <mergeCell ref="A55:B55"/>
    <mergeCell ref="A56:B56"/>
    <mergeCell ref="A57:B57"/>
    <mergeCell ref="A58:B58"/>
    <mergeCell ref="A59:B59"/>
  </mergeCells>
  <dataValidations count="12">
    <dataValidation allowBlank="1" showInputMessage="1" showErrorMessage="1" prompt="Isi nama pelanggan berdasarkan kode pelanggan" sqref="E47:E61" xr:uid="{9561959A-C9EC-4531-AF22-B7FC92CB2EFD}"/>
    <dataValidation allowBlank="1" showInputMessage="1" showErrorMessage="1" prompt="Isi nama produk berdasarkan kode produk" sqref="G47:G61" xr:uid="{4116653F-6442-4E0B-AD1D-0A4B85BCD967}"/>
    <dataValidation allowBlank="1" showInputMessage="1" showErrorMessage="1" prompt="Isi harga satuan berdasarkan kode produk" sqref="I47:I61" xr:uid="{CA46CF6A-1A90-4C24-A9CE-C8D46E7D11B4}"/>
    <dataValidation allowBlank="1" showInputMessage="1" showErrorMessage="1" prompt="Total Penjualan = Qty x Harga Satuan" sqref="J47:J61" xr:uid="{1B447A81-9568-42B9-AF89-8B6C045771C8}"/>
    <dataValidation allowBlank="1" showInputMessage="1" showErrorMessage="1" prompt="Isi diskon menggunakan fungsi IF:_x000a_1. Jika Qty &gt;500, maka diskon 20%_x000a_2. Jika Qty &gt; 200, maka diskon 10%_x000a_3. selain itu tidak memperoleh diskon" sqref="K47:K61" xr:uid="{3202FF24-75B9-4622-BBC4-D806CAC2E95E}"/>
    <dataValidation allowBlank="1" showInputMessage="1" showErrorMessage="1" prompt="Penjualan Bersih = Total Penjualan - % Diskon Total Penjualan" sqref="L47:L61" xr:uid="{5499A276-5FC6-4D42-9088-18FC71680B6A}"/>
    <dataValidation allowBlank="1" showErrorMessage="1" prompt="Isi nama pelanggan berdasarkan kode pelanggan" sqref="E45" xr:uid="{5F177E33-7867-40A6-9EBB-F26980FD89B9}"/>
    <dataValidation allowBlank="1" showErrorMessage="1" prompt="Isi nama produk berdasarkan kode produk" sqref="G45" xr:uid="{EF0CEF75-FB7A-4089-BC7B-4103CA1DF8EB}"/>
    <dataValidation allowBlank="1" showErrorMessage="1" prompt="Isi harga satuan berdasarkan kode produk" sqref="I45" xr:uid="{1ED40300-6729-4523-A863-5E68DCF65C81}"/>
    <dataValidation allowBlank="1" showErrorMessage="1" prompt="Total Penjualan = Qty x Harga Satuan" sqref="J45" xr:uid="{605C0970-1D07-4D63-A0E4-12F153D30EB8}"/>
    <dataValidation allowBlank="1" showErrorMessage="1" prompt="Isi diskon menggunakan fungsi IF:_x000a_1. Jika Qty &gt;500, maka diskon 20%_x000a_2. Jika Qty &gt; 200, maka diskon 10%_x000a_3. selain itu tidak memperoleh diskon" sqref="K45" xr:uid="{DC8D9F4F-3E79-42D5-89E8-6BA7A9457979}"/>
    <dataValidation allowBlank="1" showErrorMessage="1" prompt="Penjualan Bersih = Total Penjualan - % Diskon Total Penjualan" sqref="L45" xr:uid="{20BED477-866C-4224-9B2D-0C2083E6A185}"/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B1DE-9F6B-45A3-80D5-20F209E1FD68}">
  <sheetPr codeName="Sheet2"/>
  <dimension ref="B1:P32"/>
  <sheetViews>
    <sheetView showGridLines="0" workbookViewId="0">
      <selection activeCell="N18" sqref="N18"/>
    </sheetView>
  </sheetViews>
  <sheetFormatPr defaultColWidth="8.88671875" defaultRowHeight="14.4"/>
  <cols>
    <col min="1" max="1" width="5.77734375" style="40" customWidth="1"/>
    <col min="2" max="2" width="10" style="40" customWidth="1"/>
    <col min="3" max="6" width="8.88671875" style="40"/>
    <col min="7" max="7" width="4.33203125" style="40" customWidth="1"/>
    <col min="8" max="8" width="4.21875" style="40" customWidth="1"/>
    <col min="9" max="9" width="8.88671875" style="40"/>
    <col min="10" max="10" width="10.44140625" style="40" customWidth="1"/>
    <col min="11" max="11" width="9.33203125" style="40" customWidth="1"/>
    <col min="12" max="13" width="8.88671875" style="40"/>
    <col min="14" max="14" width="26.44140625" style="40" customWidth="1"/>
    <col min="15" max="16384" width="8.88671875" style="40"/>
  </cols>
  <sheetData>
    <row r="1" spans="7:16">
      <c r="H1" s="41"/>
      <c r="I1" s="41"/>
      <c r="J1" s="41"/>
      <c r="K1" s="41"/>
      <c r="L1" s="41"/>
      <c r="M1" s="41"/>
      <c r="N1" s="41"/>
      <c r="O1" s="41"/>
      <c r="P1" s="41"/>
    </row>
    <row r="2" spans="7:16">
      <c r="H2" s="41"/>
      <c r="I2" s="41"/>
      <c r="J2" s="41"/>
      <c r="K2" s="41"/>
      <c r="L2" s="41"/>
      <c r="M2" s="41"/>
      <c r="N2" s="41"/>
      <c r="O2" s="41"/>
      <c r="P2" s="41"/>
    </row>
    <row r="3" spans="7:16">
      <c r="G3" s="42"/>
      <c r="H3" s="43"/>
      <c r="I3" s="41"/>
      <c r="J3" s="41"/>
      <c r="K3" s="41"/>
      <c r="L3" s="41"/>
      <c r="M3" s="41"/>
      <c r="N3" s="41"/>
      <c r="O3" s="41"/>
      <c r="P3" s="41"/>
    </row>
    <row r="4" spans="7:16">
      <c r="G4" s="42"/>
      <c r="H4" s="43"/>
      <c r="I4" s="41"/>
      <c r="J4" s="41"/>
      <c r="K4" s="41"/>
      <c r="L4" s="41"/>
      <c r="M4" s="41"/>
      <c r="N4" s="41"/>
      <c r="O4" s="41"/>
      <c r="P4" s="41"/>
    </row>
    <row r="5" spans="7:16">
      <c r="G5" s="42"/>
      <c r="H5" s="43"/>
      <c r="I5" s="41"/>
      <c r="J5" s="41"/>
      <c r="K5" s="41"/>
      <c r="L5" s="41"/>
      <c r="M5" s="41"/>
      <c r="N5" s="41"/>
      <c r="O5" s="41"/>
      <c r="P5" s="41"/>
    </row>
    <row r="6" spans="7:16">
      <c r="G6" s="42"/>
      <c r="H6" s="43"/>
      <c r="I6" s="41" t="s">
        <v>60</v>
      </c>
      <c r="J6" s="41"/>
      <c r="K6" s="41"/>
      <c r="L6" s="41"/>
      <c r="M6" s="41"/>
      <c r="N6" s="41"/>
      <c r="O6" s="41"/>
      <c r="P6" s="41"/>
    </row>
    <row r="7" spans="7:16">
      <c r="G7" s="42"/>
      <c r="H7" s="43"/>
      <c r="I7" s="41" t="s">
        <v>61</v>
      </c>
      <c r="J7" s="41"/>
      <c r="K7" s="41"/>
      <c r="L7" s="41"/>
      <c r="M7" s="41"/>
      <c r="N7" s="41"/>
      <c r="O7" s="41"/>
      <c r="P7" s="41"/>
    </row>
    <row r="8" spans="7:16">
      <c r="G8" s="42"/>
      <c r="H8" s="43"/>
      <c r="I8" s="41"/>
      <c r="J8" s="41"/>
      <c r="K8" s="41"/>
      <c r="L8" s="41"/>
      <c r="M8" s="41"/>
      <c r="N8" s="41"/>
      <c r="O8" s="41"/>
      <c r="P8" s="41"/>
    </row>
    <row r="9" spans="7:16">
      <c r="G9" s="42"/>
      <c r="H9" s="43"/>
      <c r="I9" s="41"/>
      <c r="J9" s="41"/>
      <c r="K9" s="41"/>
      <c r="L9" s="41"/>
      <c r="M9" s="41"/>
      <c r="N9" s="41"/>
      <c r="O9" s="41"/>
      <c r="P9" s="41"/>
    </row>
    <row r="10" spans="7:16">
      <c r="G10" s="42"/>
      <c r="H10" s="43"/>
      <c r="I10" s="41" t="s">
        <v>62</v>
      </c>
      <c r="J10" s="41"/>
      <c r="K10" s="41"/>
      <c r="L10" s="41"/>
      <c r="M10" s="41"/>
      <c r="N10" s="41"/>
      <c r="O10" s="41"/>
      <c r="P10" s="41"/>
    </row>
    <row r="11" spans="7:16">
      <c r="G11" s="42"/>
      <c r="H11" s="43"/>
      <c r="I11" s="41"/>
      <c r="J11" s="41"/>
      <c r="K11" s="41"/>
      <c r="L11" s="41"/>
      <c r="M11" s="41"/>
      <c r="N11" s="41"/>
      <c r="O11" s="41"/>
      <c r="P11" s="41"/>
    </row>
    <row r="12" spans="7:16">
      <c r="G12" s="42"/>
      <c r="H12" s="43"/>
      <c r="I12" s="41"/>
      <c r="J12" s="86" t="s">
        <v>63</v>
      </c>
      <c r="K12" s="86"/>
      <c r="L12" s="85" t="s">
        <v>64</v>
      </c>
      <c r="M12" s="85"/>
      <c r="N12" s="41"/>
      <c r="O12" s="41"/>
      <c r="P12" s="41"/>
    </row>
    <row r="13" spans="7:16">
      <c r="G13" s="42"/>
      <c r="H13" s="43"/>
      <c r="I13" s="41"/>
      <c r="J13" s="86" t="s">
        <v>65</v>
      </c>
      <c r="K13" s="86"/>
      <c r="L13" s="44" t="s">
        <v>66</v>
      </c>
      <c r="M13" s="45"/>
      <c r="N13" s="41"/>
      <c r="O13" s="41"/>
      <c r="P13" s="41"/>
    </row>
    <row r="14" spans="7:16">
      <c r="G14" s="42"/>
      <c r="H14" s="43"/>
      <c r="I14" s="41"/>
      <c r="J14" s="86" t="s">
        <v>67</v>
      </c>
      <c r="K14" s="86"/>
      <c r="L14" s="44" t="s">
        <v>68</v>
      </c>
      <c r="M14" s="46"/>
      <c r="N14" s="41"/>
      <c r="O14" s="41"/>
      <c r="P14" s="41"/>
    </row>
    <row r="15" spans="7:16">
      <c r="G15" s="42"/>
      <c r="H15" s="43"/>
      <c r="I15" s="41"/>
      <c r="J15" s="86" t="s">
        <v>69</v>
      </c>
      <c r="K15" s="86"/>
      <c r="L15" s="44" t="s">
        <v>70</v>
      </c>
      <c r="M15" s="46"/>
      <c r="N15" s="41"/>
      <c r="O15" s="41"/>
      <c r="P15" s="41"/>
    </row>
    <row r="16" spans="7:16">
      <c r="G16" s="42"/>
      <c r="H16" s="43"/>
      <c r="I16" s="41"/>
      <c r="J16" s="86" t="s">
        <v>71</v>
      </c>
      <c r="K16" s="86"/>
      <c r="L16" s="44" t="s">
        <v>72</v>
      </c>
      <c r="M16" s="46"/>
      <c r="N16" s="41"/>
      <c r="O16" s="41"/>
      <c r="P16" s="41"/>
    </row>
    <row r="17" spans="2:16" ht="54.6" customHeight="1">
      <c r="B17" s="89" t="s">
        <v>73</v>
      </c>
      <c r="C17" s="89"/>
      <c r="D17" s="89"/>
      <c r="E17" s="89"/>
      <c r="F17" s="90"/>
      <c r="G17" s="64"/>
      <c r="H17" s="43"/>
      <c r="I17" s="41" t="s">
        <v>74</v>
      </c>
      <c r="J17" s="41"/>
      <c r="K17" s="41"/>
      <c r="L17" s="41"/>
      <c r="M17" s="41"/>
      <c r="N17" s="41"/>
      <c r="O17" s="41"/>
      <c r="P17" s="41"/>
    </row>
    <row r="18" spans="2:16" ht="54.6" customHeight="1">
      <c r="B18" s="91" t="s">
        <v>90</v>
      </c>
      <c r="C18" s="91"/>
      <c r="D18" s="91"/>
      <c r="E18" s="91"/>
      <c r="F18" s="92"/>
      <c r="G18" s="65"/>
      <c r="H18" s="43"/>
      <c r="I18" s="47" t="s">
        <v>75</v>
      </c>
      <c r="J18" s="41"/>
      <c r="K18" s="41"/>
      <c r="L18" s="41"/>
      <c r="M18" s="41"/>
      <c r="N18" s="41"/>
      <c r="O18" s="41"/>
      <c r="P18" s="41"/>
    </row>
    <row r="19" spans="2:16">
      <c r="B19" s="48" t="s">
        <v>76</v>
      </c>
      <c r="H19" s="41"/>
      <c r="J19" s="41"/>
      <c r="K19" s="41"/>
      <c r="L19" s="41"/>
      <c r="M19" s="41"/>
      <c r="N19" s="41"/>
      <c r="O19" s="41"/>
      <c r="P19" s="41"/>
    </row>
    <row r="20" spans="2:16">
      <c r="B20" s="49" t="s">
        <v>77</v>
      </c>
      <c r="C20" s="50" t="s">
        <v>78</v>
      </c>
      <c r="H20" s="41"/>
      <c r="J20" s="41"/>
      <c r="K20" s="41"/>
      <c r="L20" s="41"/>
      <c r="M20" s="41"/>
      <c r="N20" s="41"/>
      <c r="O20" s="41"/>
      <c r="P20" s="41"/>
    </row>
    <row r="21" spans="2:16">
      <c r="B21" s="51" t="s">
        <v>79</v>
      </c>
      <c r="C21" s="50" t="s">
        <v>80</v>
      </c>
      <c r="H21" s="41"/>
      <c r="I21" s="41"/>
      <c r="J21" s="41"/>
      <c r="K21" s="41"/>
      <c r="L21" s="41"/>
      <c r="M21" s="41"/>
      <c r="N21" s="41"/>
      <c r="O21" s="41"/>
      <c r="P21" s="41"/>
    </row>
    <row r="22" spans="2:16">
      <c r="H22" s="41"/>
      <c r="I22" s="41"/>
      <c r="J22" s="41"/>
      <c r="K22" s="41"/>
      <c r="L22" s="41"/>
      <c r="M22" s="41"/>
      <c r="N22" s="41"/>
      <c r="O22" s="41"/>
      <c r="P22" s="41"/>
    </row>
    <row r="23" spans="2:16">
      <c r="N23" s="41"/>
      <c r="O23" s="41"/>
      <c r="P23" s="41"/>
    </row>
    <row r="24" spans="2:16">
      <c r="N24" s="41"/>
      <c r="O24" s="41"/>
      <c r="P24" s="41"/>
    </row>
    <row r="25" spans="2:16">
      <c r="B25" s="87"/>
      <c r="C25" s="88"/>
      <c r="D25" s="88"/>
      <c r="E25" s="88"/>
      <c r="F25" s="88"/>
      <c r="G25" s="88"/>
      <c r="H25" s="88"/>
      <c r="I25" s="88"/>
      <c r="N25" s="41"/>
      <c r="O25" s="41"/>
      <c r="P25" s="41"/>
    </row>
    <row r="26" spans="2:16">
      <c r="B26" s="52"/>
      <c r="C26" s="53"/>
      <c r="D26" s="52"/>
      <c r="E26" s="52"/>
      <c r="F26" s="52"/>
      <c r="G26" s="52"/>
      <c r="H26" s="52"/>
      <c r="I26" s="52"/>
    </row>
    <row r="27" spans="2:16">
      <c r="B27" s="52"/>
      <c r="C27" s="52"/>
      <c r="D27" s="55" t="s">
        <v>85</v>
      </c>
      <c r="E27" s="52"/>
      <c r="F27" s="52"/>
      <c r="G27" s="52"/>
      <c r="H27" s="52"/>
      <c r="I27" s="52"/>
    </row>
    <row r="28" spans="2:16">
      <c r="B28" s="52"/>
      <c r="C28" s="52"/>
      <c r="D28" s="54" t="s">
        <v>84</v>
      </c>
      <c r="E28" s="52"/>
      <c r="F28" s="52"/>
      <c r="G28" s="52"/>
      <c r="H28" s="52"/>
      <c r="I28" s="52"/>
    </row>
    <row r="29" spans="2:16">
      <c r="B29" s="52"/>
      <c r="C29" s="52"/>
      <c r="D29" s="66" t="s">
        <v>91</v>
      </c>
      <c r="E29" s="52"/>
      <c r="F29" s="52"/>
      <c r="G29" s="52"/>
      <c r="H29" s="52"/>
      <c r="I29" s="52"/>
    </row>
    <row r="30" spans="2:16">
      <c r="B30" s="52"/>
      <c r="C30" s="52"/>
      <c r="D30" s="52"/>
      <c r="E30" s="52"/>
      <c r="F30" s="52"/>
      <c r="G30" s="52"/>
      <c r="H30" s="52"/>
      <c r="I30" s="52"/>
    </row>
    <row r="31" spans="2:16">
      <c r="B31" s="52"/>
      <c r="C31" s="52"/>
      <c r="D31" s="52"/>
      <c r="E31" s="52"/>
      <c r="F31" s="52"/>
      <c r="G31" s="52"/>
      <c r="H31" s="52"/>
      <c r="I31" s="52"/>
    </row>
    <row r="32" spans="2:16">
      <c r="B32" s="87"/>
      <c r="C32" s="88"/>
      <c r="D32" s="88"/>
      <c r="E32" s="88"/>
      <c r="F32" s="88"/>
      <c r="G32" s="88"/>
      <c r="H32" s="88"/>
      <c r="I32" s="88"/>
    </row>
  </sheetData>
  <mergeCells count="10">
    <mergeCell ref="B25:I25"/>
    <mergeCell ref="B32:I32"/>
    <mergeCell ref="B17:F17"/>
    <mergeCell ref="B18:F18"/>
    <mergeCell ref="J12:K12"/>
    <mergeCell ref="L12:M12"/>
    <mergeCell ref="J13:K13"/>
    <mergeCell ref="J14:K14"/>
    <mergeCell ref="J15:K15"/>
    <mergeCell ref="J16:K16"/>
  </mergeCells>
  <hyperlinks>
    <hyperlink ref="I18" r:id="rId1" xr:uid="{2FFD3162-B30F-436D-B558-BCA6D0557D8E}"/>
    <hyperlink ref="C21" r:id="rId2" xr:uid="{7439B7F3-4365-4C3E-9E6A-833F1F51ABBE}"/>
    <hyperlink ref="C20" r:id="rId3" xr:uid="{40DA99C9-3100-464F-A9CC-CE14DE692B34}"/>
    <hyperlink ref="D29" r:id="rId4" xr:uid="{13EE3EA0-037B-4663-8FA2-AEB1D2562E52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854D-93A1-4410-9A89-85D01F056BE4}">
  <sheetPr codeName="Sheet3"/>
  <dimension ref="A1:U66"/>
  <sheetViews>
    <sheetView topLeftCell="A7" workbookViewId="0">
      <selection activeCell="P32" sqref="P32"/>
    </sheetView>
  </sheetViews>
  <sheetFormatPr defaultRowHeight="13.8"/>
  <cols>
    <col min="2" max="2" width="11.109375" customWidth="1"/>
    <col min="3" max="3" width="17.77734375" customWidth="1"/>
    <col min="4" max="4" width="14.5546875" customWidth="1"/>
    <col min="5" max="5" width="12.44140625" bestFit="1" customWidth="1"/>
    <col min="6" max="6" width="14" customWidth="1"/>
    <col min="7" max="7" width="7.33203125" customWidth="1"/>
    <col min="8" max="9" width="13.5546875" bestFit="1" customWidth="1"/>
    <col min="10" max="10" width="15.21875" customWidth="1"/>
    <col min="11" max="14" width="6.5546875" customWidth="1"/>
    <col min="17" max="17" width="22.77734375" customWidth="1"/>
  </cols>
  <sheetData>
    <row r="1" spans="1:21">
      <c r="A1" t="s">
        <v>33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L1" t="s">
        <v>95</v>
      </c>
      <c r="M1" t="s">
        <v>96</v>
      </c>
      <c r="P1">
        <v>1</v>
      </c>
      <c r="Q1">
        <v>2</v>
      </c>
      <c r="R1">
        <v>3</v>
      </c>
      <c r="S1">
        <v>4</v>
      </c>
      <c r="T1">
        <v>5</v>
      </c>
      <c r="U1">
        <v>6</v>
      </c>
    </row>
    <row r="2" spans="1:21">
      <c r="A2" t="s">
        <v>94</v>
      </c>
      <c r="B2">
        <v>1</v>
      </c>
      <c r="C2" t="str">
        <f>UPPER('XL-Test '!E47)</f>
        <v>TOKO AHMAD BUDIMAN</v>
      </c>
      <c r="D2" t="str">
        <f>UPPER('XL-Test '!G47)</f>
        <v>BESI 5 METER</v>
      </c>
      <c r="E2">
        <f>'XL-Test '!I47</f>
        <v>250000</v>
      </c>
      <c r="F2">
        <f>'XL-Test '!J47</f>
        <v>60000000</v>
      </c>
      <c r="G2">
        <f>'XL-Test '!K47</f>
        <v>0.1</v>
      </c>
      <c r="H2">
        <f>'XL-Test '!L47</f>
        <v>54000000</v>
      </c>
      <c r="I2">
        <f>'XL-Test '!H62</f>
        <v>7090</v>
      </c>
      <c r="J2" s="8">
        <f>'XL-Test '!H63</f>
        <v>472.66666666666669</v>
      </c>
      <c r="L2">
        <f>CODE(MID(C2,6,1))+CODE(MID(C2,7,1))+CODE(RIGHT(C2,1))</f>
        <v>215</v>
      </c>
      <c r="M2">
        <f>CODE(MID(D2,5,1))+CODE(MID(D2,2,1))+CODE(RIGHT(D2,1))+CODE(LEFT(D2,1))+CODE(MID(D2,6,1))</f>
        <v>302</v>
      </c>
      <c r="O2">
        <v>1</v>
      </c>
      <c r="P2" t="str">
        <f ca="1">_xlfn.FORMULATEXT('XL-Test '!E47)</f>
        <v>=VLOOKUP(D47,$N$47:$O$50,2,)</v>
      </c>
      <c r="Q2" t="str">
        <f ca="1">_xlfn.FORMULATEXT('XL-Test '!G47)</f>
        <v>=HLOOKUP(F47,$N$53:$R$55,2,)</v>
      </c>
      <c r="R2" t="str">
        <f ca="1">_xlfn.FORMULATEXT('XL-Test '!I47)</f>
        <v>=HLOOKUP(F47,$N$53:$R$55,3,)</v>
      </c>
      <c r="S2" t="str">
        <f ca="1">_xlfn.FORMULATEXT('XL-Test '!J47)</f>
        <v>=I47*H47</v>
      </c>
      <c r="T2" t="str">
        <f ca="1">_xlfn.FORMULATEXT('XL-Test '!K47)</f>
        <v>=IFS(H47&gt;500, 20%,H47&gt;200, 10%, H47&lt;200, 0)</v>
      </c>
      <c r="U2" t="str">
        <f ca="1">_xlfn.FORMULATEXT('XL-Test '!L47)</f>
        <v>=J47-(J47*K47)</v>
      </c>
    </row>
    <row r="3" spans="1:21">
      <c r="B3">
        <v>2</v>
      </c>
      <c r="C3" t="str">
        <f>UPPER('XL-Test '!E48)</f>
        <v>TOKO BENI KUSUMA</v>
      </c>
      <c r="D3" t="str">
        <f>UPPER('XL-Test '!G48)</f>
        <v>BESI 10 METER</v>
      </c>
      <c r="E3">
        <f>'XL-Test '!I48</f>
        <v>425000</v>
      </c>
      <c r="F3">
        <f>'XL-Test '!J48</f>
        <v>148750000</v>
      </c>
      <c r="G3">
        <f>'XL-Test '!K48</f>
        <v>0.1</v>
      </c>
      <c r="H3">
        <f>'XL-Test '!L48</f>
        <v>133875000</v>
      </c>
      <c r="I3" s="8">
        <f>'XL-Test '!L62</f>
        <v>1236611000</v>
      </c>
      <c r="J3">
        <f>'XL-Test '!L63</f>
        <v>82440733.333333328</v>
      </c>
      <c r="L3">
        <f t="shared" ref="L3:L16" si="0">CODE(MID(C3,6,1))+CODE(MID(C3,7,1))+CODE(RIGHT(C3,1))</f>
        <v>200</v>
      </c>
      <c r="M3">
        <f t="shared" ref="M3:M16" si="1">CODE(MID(D3,5,1))+CODE(MID(D3,2,1))+CODE(RIGHT(D3,1))+CODE(LEFT(D3,1))+CODE(MID(D3,6,1))</f>
        <v>298</v>
      </c>
      <c r="O3">
        <v>2</v>
      </c>
      <c r="P3" t="str">
        <f ca="1">_xlfn.FORMULATEXT('XL-Test '!G47)</f>
        <v>=HLOOKUP(F47,$N$53:$R$55,2,)</v>
      </c>
    </row>
    <row r="4" spans="1:21">
      <c r="B4">
        <v>3</v>
      </c>
      <c r="C4" t="str">
        <f>UPPER('XL-Test '!E49)</f>
        <v>TOKO CHRIS JOHN</v>
      </c>
      <c r="D4" t="str">
        <f>UPPER('XL-Test '!G49)</f>
        <v>PIPA 5 METER</v>
      </c>
      <c r="E4">
        <f>'XL-Test '!I49</f>
        <v>78000</v>
      </c>
      <c r="F4">
        <f>'XL-Test '!J49</f>
        <v>10140000</v>
      </c>
      <c r="G4">
        <f>'XL-Test '!K49</f>
        <v>0</v>
      </c>
      <c r="H4">
        <f>'XL-Test '!L49</f>
        <v>10140000</v>
      </c>
      <c r="L4">
        <f t="shared" si="0"/>
        <v>217</v>
      </c>
      <c r="M4">
        <f t="shared" si="1"/>
        <v>320</v>
      </c>
      <c r="O4">
        <v>3</v>
      </c>
      <c r="P4" t="str">
        <f ca="1">_xlfn.FORMULATEXT('XL-Test '!I47)</f>
        <v>=HLOOKUP(F47,$N$53:$R$55,3,)</v>
      </c>
    </row>
    <row r="5" spans="1:21">
      <c r="B5">
        <v>4</v>
      </c>
      <c r="C5" t="str">
        <f>UPPER('XL-Test '!E50)</f>
        <v>TOKO CHRIS JOHN</v>
      </c>
      <c r="D5" t="str">
        <f>UPPER('XL-Test '!G50)</f>
        <v>PIPA 10 METER</v>
      </c>
      <c r="E5">
        <f>'XL-Test '!I50</f>
        <v>140000</v>
      </c>
      <c r="F5">
        <f>'XL-Test '!J50</f>
        <v>78400000</v>
      </c>
      <c r="G5">
        <f>'XL-Test '!K50</f>
        <v>0.2</v>
      </c>
      <c r="H5">
        <f>'XL-Test '!L50</f>
        <v>62720000</v>
      </c>
      <c r="L5">
        <f t="shared" si="0"/>
        <v>217</v>
      </c>
      <c r="M5">
        <f t="shared" si="1"/>
        <v>316</v>
      </c>
      <c r="O5">
        <v>4</v>
      </c>
      <c r="P5" t="str">
        <f ca="1">_xlfn.FORMULATEXT('XL-Test '!J47)</f>
        <v>=I47*H47</v>
      </c>
    </row>
    <row r="6" spans="1:21">
      <c r="B6">
        <v>5</v>
      </c>
      <c r="C6" t="str">
        <f>UPPER('XL-Test '!E51)</f>
        <v>TOKO BENI KUSUMA</v>
      </c>
      <c r="D6" t="str">
        <f>UPPER('XL-Test '!G51)</f>
        <v>BESI 5 METER</v>
      </c>
      <c r="E6">
        <f>'XL-Test '!I51</f>
        <v>250000</v>
      </c>
      <c r="F6">
        <f>'XL-Test '!J51</f>
        <v>195000000</v>
      </c>
      <c r="G6">
        <f>'XL-Test '!K51</f>
        <v>0.2</v>
      </c>
      <c r="H6">
        <f>'XL-Test '!L51</f>
        <v>156000000</v>
      </c>
      <c r="L6">
        <f t="shared" si="0"/>
        <v>200</v>
      </c>
      <c r="M6">
        <f t="shared" si="1"/>
        <v>302</v>
      </c>
      <c r="O6">
        <v>5</v>
      </c>
      <c r="P6" t="str">
        <f ca="1">_xlfn.FORMULATEXT('XL-Test '!K47)</f>
        <v>=IFS(H47&gt;500, 20%,H47&gt;200, 10%, H47&lt;200, 0)</v>
      </c>
    </row>
    <row r="7" spans="1:21">
      <c r="B7">
        <v>6</v>
      </c>
      <c r="C7" t="str">
        <f>UPPER('XL-Test '!E52)</f>
        <v>TOKO AHMAD BUDIMAN</v>
      </c>
      <c r="D7" t="str">
        <f>UPPER('XL-Test '!G52)</f>
        <v>BESI 10 METER</v>
      </c>
      <c r="E7">
        <f>'XL-Test '!I52</f>
        <v>425000</v>
      </c>
      <c r="F7">
        <f>'XL-Test '!J52</f>
        <v>378250000</v>
      </c>
      <c r="G7">
        <f>'XL-Test '!K52</f>
        <v>0.2</v>
      </c>
      <c r="H7">
        <f>'XL-Test '!L52</f>
        <v>302600000</v>
      </c>
      <c r="I7" s="21">
        <f>I3-I2</f>
        <v>1236603910</v>
      </c>
      <c r="J7" s="21">
        <f>J3-J2</f>
        <v>82440260.666666657</v>
      </c>
      <c r="L7">
        <f t="shared" si="0"/>
        <v>215</v>
      </c>
      <c r="M7">
        <f t="shared" si="1"/>
        <v>298</v>
      </c>
      <c r="O7">
        <v>6</v>
      </c>
      <c r="P7" t="str">
        <f ca="1">_xlfn.FORMULATEXT('XL-Test '!L47)</f>
        <v>=J47-(J47*K47)</v>
      </c>
    </row>
    <row r="8" spans="1:21" ht="15" customHeight="1">
      <c r="B8">
        <v>7</v>
      </c>
      <c r="C8" t="str">
        <f>UPPER('XL-Test '!E53)</f>
        <v>TOKO BENI KUSUMA</v>
      </c>
      <c r="D8" t="str">
        <f>UPPER('XL-Test '!G53)</f>
        <v>PIPA 5 METER</v>
      </c>
      <c r="E8">
        <f>'XL-Test '!I53</f>
        <v>78000</v>
      </c>
      <c r="F8">
        <f>'XL-Test '!J53</f>
        <v>32760000</v>
      </c>
      <c r="G8">
        <f>'XL-Test '!K53</f>
        <v>0.1</v>
      </c>
      <c r="H8">
        <f>'XL-Test '!L53</f>
        <v>29484000</v>
      </c>
      <c r="I8">
        <f>INT(SUM(I2:I7)/10000)</f>
        <v>247322</v>
      </c>
      <c r="J8">
        <f>INT(SUM(J2:J7)/10000)</f>
        <v>16488</v>
      </c>
      <c r="L8">
        <f t="shared" si="0"/>
        <v>200</v>
      </c>
      <c r="M8">
        <f t="shared" si="1"/>
        <v>320</v>
      </c>
      <c r="Q8" t="s">
        <v>97</v>
      </c>
    </row>
    <row r="9" spans="1:21" ht="13.2" customHeight="1">
      <c r="B9">
        <v>8</v>
      </c>
      <c r="C9" t="str">
        <f>UPPER('XL-Test '!E54)</f>
        <v>TOKO AHMAD BUDIMAN</v>
      </c>
      <c r="D9" t="str">
        <f>UPPER('XL-Test '!G54)</f>
        <v>PIPA 10 METER</v>
      </c>
      <c r="E9">
        <f>'XL-Test '!I54</f>
        <v>140000</v>
      </c>
      <c r="F9">
        <f>'XL-Test '!J54</f>
        <v>15400000</v>
      </c>
      <c r="G9">
        <f>'XL-Test '!K54</f>
        <v>0</v>
      </c>
      <c r="H9">
        <f>'XL-Test '!L54</f>
        <v>15400000</v>
      </c>
      <c r="L9">
        <f t="shared" si="0"/>
        <v>215</v>
      </c>
      <c r="M9">
        <f t="shared" si="1"/>
        <v>316</v>
      </c>
      <c r="O9" t="s">
        <v>98</v>
      </c>
      <c r="P9" t="str">
        <f ca="1">_xlfn.FORMULATEXT('XL-Test '!H62)</f>
        <v>=SUM(H47:H61)</v>
      </c>
      <c r="Q9" t="b">
        <f ca="1">AND(ISNUMBER(FIND("=",P9)),ISNUMBER(FIND("(",P9)))</f>
        <v>1</v>
      </c>
      <c r="R9" t="b">
        <f ca="1">ISNUMBER(FIND("SUM",P9))</f>
        <v>1</v>
      </c>
    </row>
    <row r="10" spans="1:21" ht="13.2" customHeight="1">
      <c r="B10">
        <v>9</v>
      </c>
      <c r="C10" t="str">
        <f>UPPER('XL-Test '!E55)</f>
        <v>TOKO CHRIS JOHN</v>
      </c>
      <c r="D10" t="str">
        <f>UPPER('XL-Test '!G55)</f>
        <v>BESI 5 METER</v>
      </c>
      <c r="E10">
        <f>'XL-Test '!I55</f>
        <v>250000</v>
      </c>
      <c r="F10">
        <f>'XL-Test '!J55</f>
        <v>180000000</v>
      </c>
      <c r="G10">
        <f>'XL-Test '!K55</f>
        <v>0.2</v>
      </c>
      <c r="H10">
        <f>'XL-Test '!L55</f>
        <v>144000000</v>
      </c>
      <c r="L10">
        <f t="shared" si="0"/>
        <v>217</v>
      </c>
      <c r="M10">
        <f t="shared" si="1"/>
        <v>302</v>
      </c>
      <c r="O10" t="s">
        <v>99</v>
      </c>
      <c r="P10" t="str">
        <f ca="1">_xlfn.FORMULATEXT('XL-Test '!L62)</f>
        <v>=SUM(L47:L61)</v>
      </c>
      <c r="Q10" t="b">
        <f ca="1">AND(ISNUMBER(FIND("=",P10)),ISNUMBER(FIND("(",P10)))</f>
        <v>1</v>
      </c>
      <c r="R10" t="b">
        <f ca="1">ISNUMBER(FIND("SUM",P10))</f>
        <v>1</v>
      </c>
    </row>
    <row r="11" spans="1:21" ht="13.2" customHeight="1">
      <c r="B11">
        <v>10</v>
      </c>
      <c r="C11" t="str">
        <f>UPPER('XL-Test '!E56)</f>
        <v>TOKO BENI KUSUMA</v>
      </c>
      <c r="D11" t="str">
        <f>UPPER('XL-Test '!G56)</f>
        <v>BESI 10 METER</v>
      </c>
      <c r="E11">
        <f>'XL-Test '!I56</f>
        <v>425000</v>
      </c>
      <c r="F11">
        <f>'XL-Test '!J56</f>
        <v>51000000</v>
      </c>
      <c r="G11">
        <f>'XL-Test '!K56</f>
        <v>0</v>
      </c>
      <c r="H11">
        <f>'XL-Test '!L56</f>
        <v>51000000</v>
      </c>
      <c r="L11">
        <f t="shared" si="0"/>
        <v>200</v>
      </c>
      <c r="M11">
        <f t="shared" si="1"/>
        <v>298</v>
      </c>
      <c r="O11" t="s">
        <v>100</v>
      </c>
      <c r="P11" t="str">
        <f ca="1">_xlfn.FORMULATEXT('XL-Test '!H63)</f>
        <v>=AVERAGE(H47:H61)</v>
      </c>
      <c r="Q11" t="b">
        <f ca="1">AND(ISNUMBER(FIND("=",P11)),ISNUMBER(FIND("(",P11)))</f>
        <v>1</v>
      </c>
      <c r="R11" t="b">
        <f ca="1">ISNUMBER(FIND("AVE",P11))</f>
        <v>1</v>
      </c>
    </row>
    <row r="12" spans="1:21" ht="13.2" customHeight="1">
      <c r="B12">
        <v>11</v>
      </c>
      <c r="C12" t="str">
        <f>UPPER('XL-Test '!E57)</f>
        <v>TOKO AHMAD BUDIMAN</v>
      </c>
      <c r="D12" t="str">
        <f>UPPER('XL-Test '!G57)</f>
        <v>PIPA 5 METER</v>
      </c>
      <c r="E12">
        <f>'XL-Test '!I57</f>
        <v>78000</v>
      </c>
      <c r="F12">
        <f>'XL-Test '!J57</f>
        <v>9360000</v>
      </c>
      <c r="G12">
        <f>'XL-Test '!K57</f>
        <v>0</v>
      </c>
      <c r="H12">
        <f>'XL-Test '!L57</f>
        <v>9360000</v>
      </c>
      <c r="L12">
        <f t="shared" si="0"/>
        <v>215</v>
      </c>
      <c r="M12">
        <f t="shared" si="1"/>
        <v>320</v>
      </c>
      <c r="O12" t="s">
        <v>101</v>
      </c>
      <c r="P12" t="str">
        <f ca="1">_xlfn.FORMULATEXT('XL-Test '!L63)</f>
        <v>=AVERAGE(L47:L61)</v>
      </c>
      <c r="Q12" t="b">
        <f ca="1">AND(ISNUMBER(FIND("=",P12)),ISNUMBER(FIND("(",P12)))</f>
        <v>1</v>
      </c>
      <c r="R12" t="b">
        <f ca="1">ISNUMBER(FIND("AVE",P12))</f>
        <v>1</v>
      </c>
    </row>
    <row r="13" spans="1:21" ht="13.2" customHeight="1">
      <c r="B13">
        <v>12</v>
      </c>
      <c r="C13" t="str">
        <f>UPPER('XL-Test '!E58)</f>
        <v>TOKO AHMAD BUDIMAN</v>
      </c>
      <c r="D13" t="str">
        <f>UPPER('XL-Test '!G58)</f>
        <v>PIPA 10 METER</v>
      </c>
      <c r="E13">
        <f>'XL-Test '!I58</f>
        <v>140000</v>
      </c>
      <c r="F13">
        <f>'XL-Test '!J58</f>
        <v>77000000</v>
      </c>
      <c r="G13">
        <f>'XL-Test '!K58</f>
        <v>0.2</v>
      </c>
      <c r="H13">
        <f>'XL-Test '!L58</f>
        <v>61600000</v>
      </c>
      <c r="L13">
        <f t="shared" si="0"/>
        <v>215</v>
      </c>
      <c r="M13">
        <f t="shared" si="1"/>
        <v>316</v>
      </c>
    </row>
    <row r="14" spans="1:21" ht="13.2" customHeight="1">
      <c r="B14">
        <v>13</v>
      </c>
      <c r="C14" t="str">
        <f>UPPER('XL-Test '!E59)</f>
        <v>TOKO BENI KUSUMA</v>
      </c>
      <c r="D14" t="str">
        <f>UPPER('XL-Test '!G59)</f>
        <v>PIPA 5 METER</v>
      </c>
      <c r="E14">
        <f>'XL-Test '!I59</f>
        <v>78000</v>
      </c>
      <c r="F14">
        <f>'XL-Test '!J59</f>
        <v>45240000</v>
      </c>
      <c r="G14">
        <f>'XL-Test '!K59</f>
        <v>0.2</v>
      </c>
      <c r="H14">
        <f>'XL-Test '!L59</f>
        <v>36192000</v>
      </c>
      <c r="L14">
        <f t="shared" si="0"/>
        <v>200</v>
      </c>
      <c r="M14">
        <f t="shared" si="1"/>
        <v>320</v>
      </c>
    </row>
    <row r="15" spans="1:21" ht="13.2" customHeight="1">
      <c r="B15">
        <v>14</v>
      </c>
      <c r="C15" t="str">
        <f>UPPER('XL-Test '!E60)</f>
        <v>TOKO AHMAD BUDIMAN</v>
      </c>
      <c r="D15" t="str">
        <f>UPPER('XL-Test '!G60)</f>
        <v>PIPA 10 METER</v>
      </c>
      <c r="E15">
        <f>'XL-Test '!I60</f>
        <v>140000</v>
      </c>
      <c r="F15">
        <f>'XL-Test '!J60</f>
        <v>86800000</v>
      </c>
      <c r="G15">
        <f>'XL-Test '!K60</f>
        <v>0.2</v>
      </c>
      <c r="H15">
        <f>'XL-Test '!L60</f>
        <v>69440000</v>
      </c>
      <c r="L15">
        <f t="shared" si="0"/>
        <v>215</v>
      </c>
      <c r="M15">
        <f t="shared" si="1"/>
        <v>316</v>
      </c>
    </row>
    <row r="16" spans="1:21" ht="13.2" customHeight="1">
      <c r="B16">
        <v>15</v>
      </c>
      <c r="C16" t="str">
        <f>UPPER('XL-Test '!E61)</f>
        <v>TOKO CHRIS JOHN</v>
      </c>
      <c r="D16" t="str">
        <f>UPPER('XL-Test '!G61)</f>
        <v>PIPA 10 METER</v>
      </c>
      <c r="E16">
        <f>'XL-Test '!I61</f>
        <v>140000</v>
      </c>
      <c r="F16">
        <f>'XL-Test '!J61</f>
        <v>126000000</v>
      </c>
      <c r="G16">
        <f>'XL-Test '!K61</f>
        <v>0.2</v>
      </c>
      <c r="H16">
        <f>'XL-Test '!L61</f>
        <v>100800000</v>
      </c>
      <c r="L16">
        <f t="shared" si="0"/>
        <v>217</v>
      </c>
      <c r="M16">
        <f t="shared" si="1"/>
        <v>316</v>
      </c>
    </row>
    <row r="17" spans="1:13" ht="13.2" customHeight="1"/>
    <row r="18" spans="1:13" ht="13.2" customHeight="1">
      <c r="C18">
        <f>L18</f>
        <v>4620</v>
      </c>
      <c r="D18">
        <f>M18</f>
        <v>6834</v>
      </c>
      <c r="E18">
        <f>INT((SUM(E2:E16)+E3+E5+E8+E11+E12+E15)/1000)</f>
        <v>4323</v>
      </c>
      <c r="F18">
        <f>INT((SUM(F2:F16)+F3+F5+F8+F11+F12+F15)/1000)</f>
        <v>1901170</v>
      </c>
      <c r="G18">
        <f>INT((SUM(G2:G16)+G2+G3+G6+G9+G12+G14+G16)*1000)</f>
        <v>2700</v>
      </c>
      <c r="H18">
        <f>INT((SUM(H2:H16)+H3+H5+H8+H11+H12+H15)/1000)</f>
        <v>1592490</v>
      </c>
      <c r="I18">
        <f>I8</f>
        <v>247322</v>
      </c>
      <c r="J18">
        <f>J8</f>
        <v>16488</v>
      </c>
      <c r="L18">
        <f>INT((SUM(L2:L16)+L2+L3+L6+L9+L12+L14+L16)*1)</f>
        <v>4620</v>
      </c>
      <c r="M18">
        <f>INT((SUM(M2:M16)+M2+M3+M6+M9+M12+M14+M16)*1)</f>
        <v>6834</v>
      </c>
    </row>
    <row r="20" spans="1:13">
      <c r="B20" t="s">
        <v>45</v>
      </c>
      <c r="C20">
        <v>5114</v>
      </c>
      <c r="D20">
        <v>4710</v>
      </c>
      <c r="E20">
        <v>5112</v>
      </c>
      <c r="F20">
        <v>1191</v>
      </c>
      <c r="G20">
        <v>3621</v>
      </c>
      <c r="H20">
        <v>8934</v>
      </c>
      <c r="I20">
        <v>4271</v>
      </c>
      <c r="J20">
        <v>4045</v>
      </c>
    </row>
    <row r="21" spans="1:13">
      <c r="B21" t="s">
        <v>46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</row>
    <row r="22" spans="1:13">
      <c r="C22">
        <v>8</v>
      </c>
      <c r="D22">
        <v>19</v>
      </c>
      <c r="E22">
        <v>16</v>
      </c>
      <c r="F22">
        <v>4</v>
      </c>
      <c r="G22">
        <v>12</v>
      </c>
      <c r="H22">
        <v>19</v>
      </c>
      <c r="I22">
        <v>12</v>
      </c>
      <c r="J22">
        <v>1</v>
      </c>
    </row>
    <row r="23" spans="1:13">
      <c r="B23" t="b">
        <v>1</v>
      </c>
      <c r="C23" t="str">
        <f>LEFT(DEC2HEX(LEFT(C20,3)+C22),2)</f>
        <v>20</v>
      </c>
      <c r="D23" t="str">
        <f t="shared" ref="D23:J23" si="2">LEFT(DEC2HEX(LEFT(D20,3)+D22),2)</f>
        <v>1E</v>
      </c>
      <c r="E23" t="str">
        <f t="shared" si="2"/>
        <v>20</v>
      </c>
      <c r="F23" t="str">
        <f t="shared" si="2"/>
        <v>7B</v>
      </c>
      <c r="G23" t="str">
        <f t="shared" si="2"/>
        <v>17</v>
      </c>
      <c r="H23" t="str">
        <f t="shared" si="2"/>
        <v>39</v>
      </c>
      <c r="I23" t="str">
        <f t="shared" si="2"/>
        <v>1B</v>
      </c>
      <c r="J23" t="str">
        <f t="shared" si="2"/>
        <v>19</v>
      </c>
    </row>
    <row r="24" spans="1:13">
      <c r="B24" t="b">
        <v>0</v>
      </c>
      <c r="C24" t="str">
        <f>LEFT(DEC2HEX(RIGHT(C20,3)+C22),2)</f>
        <v>7A</v>
      </c>
      <c r="D24" t="str">
        <f t="shared" ref="D24:J24" si="3">LEFT(DEC2HEX(RIGHT(D20,3)+D22),2)</f>
        <v>2D</v>
      </c>
      <c r="E24" t="str">
        <f t="shared" si="3"/>
        <v>80</v>
      </c>
      <c r="F24" t="str">
        <f t="shared" si="3"/>
        <v>C3</v>
      </c>
      <c r="G24" t="str">
        <f t="shared" si="3"/>
        <v>27</v>
      </c>
      <c r="H24" t="str">
        <f t="shared" si="3"/>
        <v>3B</v>
      </c>
      <c r="I24" t="str">
        <f t="shared" si="3"/>
        <v>11</v>
      </c>
      <c r="J24" t="str">
        <f t="shared" si="3"/>
        <v>2E</v>
      </c>
    </row>
    <row r="25" spans="1:13">
      <c r="B25" t="s">
        <v>42</v>
      </c>
      <c r="C25" t="b">
        <f>NOT(OR(C2="",C2=0))</f>
        <v>1</v>
      </c>
      <c r="D25" t="b">
        <f t="shared" ref="D25:J25" si="4">NOT(OR(D2="",D2=0))</f>
        <v>1</v>
      </c>
      <c r="E25" t="b">
        <f t="shared" si="4"/>
        <v>1</v>
      </c>
      <c r="F25" t="b">
        <f t="shared" si="4"/>
        <v>1</v>
      </c>
      <c r="G25" t="b">
        <f t="shared" si="4"/>
        <v>1</v>
      </c>
      <c r="H25" t="b">
        <f t="shared" si="4"/>
        <v>1</v>
      </c>
      <c r="I25" t="b">
        <f t="shared" si="4"/>
        <v>1</v>
      </c>
      <c r="J25" t="b">
        <f t="shared" si="4"/>
        <v>1</v>
      </c>
    </row>
    <row r="26" spans="1:13">
      <c r="B26" t="s">
        <v>97</v>
      </c>
      <c r="C26" t="b">
        <f ca="1">AND(ISNUMBER(FIND("=",P2)),ISNUMBER(FIND("(",P2)))</f>
        <v>1</v>
      </c>
      <c r="D26" t="b">
        <f ca="1">AND(ISNUMBER(FIND("=",Q2)),ISNUMBER(FIND("(",Q2)))</f>
        <v>1</v>
      </c>
      <c r="E26" t="b">
        <f ca="1">AND(ISNUMBER(FIND("=",R2)),ISNUMBER(FIND("(",R2)))</f>
        <v>1</v>
      </c>
      <c r="F26" t="b">
        <f ca="1">AND(ISNUMBER(FIND("=",S2)),OR(ISNUMBER(FIND("(",S2)),ISNUMBER(FIND("*",S2))))</f>
        <v>1</v>
      </c>
      <c r="G26" t="b">
        <f ca="1">AND(ISNUMBER(FIND("=",T2)),OR(ISNUMBER(FIND("(",T2)),ISNUMBER(FIND("*",T2))))</f>
        <v>1</v>
      </c>
      <c r="H26" t="b">
        <f ca="1">AND(ISNUMBER(FIND("=",U2)),OR(ISNUMBER(FIND("(",U2)),ISNUMBER(FIND("*",U2))))</f>
        <v>1</v>
      </c>
      <c r="I26" t="b">
        <f ca="1">AND(Q9:Q10)</f>
        <v>1</v>
      </c>
      <c r="J26" t="b">
        <f ca="1">AND(Q11:Q12)</f>
        <v>1</v>
      </c>
    </row>
    <row r="27" spans="1:13">
      <c r="B27" t="s">
        <v>103</v>
      </c>
      <c r="C27" t="b">
        <f ca="1">C66</f>
        <v>1</v>
      </c>
      <c r="D27" t="b">
        <f t="shared" ref="D27:H27" ca="1" si="5">D66</f>
        <v>1</v>
      </c>
      <c r="E27" t="b">
        <f t="shared" ca="1" si="5"/>
        <v>1</v>
      </c>
      <c r="F27" t="b">
        <f t="shared" ca="1" si="5"/>
        <v>1</v>
      </c>
      <c r="G27" t="b">
        <f t="shared" ca="1" si="5"/>
        <v>1</v>
      </c>
      <c r="H27" t="b">
        <f t="shared" ca="1" si="5"/>
        <v>1</v>
      </c>
      <c r="I27" t="b">
        <v>1</v>
      </c>
      <c r="J27" t="b">
        <v>1</v>
      </c>
    </row>
    <row r="28" spans="1:13">
      <c r="B28" t="s">
        <v>107</v>
      </c>
      <c r="C28" t="b">
        <f>ISTEXT(C2)</f>
        <v>1</v>
      </c>
      <c r="D28" t="b">
        <f>ISTEXT(D2)</f>
        <v>1</v>
      </c>
      <c r="E28" t="b">
        <f>ISNUMBER(E2)</f>
        <v>1</v>
      </c>
      <c r="F28" t="b">
        <f>ISNUMBER(F2)</f>
        <v>1</v>
      </c>
      <c r="G28" t="b">
        <f>ISNUMBER(G2)</f>
        <v>1</v>
      </c>
      <c r="H28" t="b">
        <f>ISNUMBER(H2)</f>
        <v>1</v>
      </c>
      <c r="I28" t="b">
        <f>AND(ISNUMBER(I2),ISNUMBER(I3))</f>
        <v>1</v>
      </c>
      <c r="J28" t="b">
        <f>AND(ISNUMBER(J2),ISNUMBER(J3))</f>
        <v>1</v>
      </c>
    </row>
    <row r="30" spans="1:13">
      <c r="A30" s="67" t="s">
        <v>102</v>
      </c>
      <c r="B30" t="s">
        <v>43</v>
      </c>
      <c r="C30" t="str">
        <f ca="1">IFERROR(DEC2HEX(IF(AND(C25:C28),C18,C20)),"EEE")</f>
        <v>120C</v>
      </c>
      <c r="D30" t="str">
        <f t="shared" ref="D30:J30" ca="1" si="6">IFERROR(DEC2HEX(IF(AND(D25:D28),D18,D20)),"EEE")</f>
        <v>1AB2</v>
      </c>
      <c r="E30" t="str">
        <f t="shared" ca="1" si="6"/>
        <v>10E3</v>
      </c>
      <c r="F30" t="str">
        <f t="shared" ca="1" si="6"/>
        <v>1D0272</v>
      </c>
      <c r="G30" t="str">
        <f t="shared" ca="1" si="6"/>
        <v>A8C</v>
      </c>
      <c r="H30" t="str">
        <f t="shared" ca="1" si="6"/>
        <v>184CAA</v>
      </c>
      <c r="I30" t="str">
        <f t="shared" ca="1" si="6"/>
        <v>3C61A</v>
      </c>
      <c r="J30" t="str">
        <f t="shared" ca="1" si="6"/>
        <v>4068</v>
      </c>
    </row>
    <row r="32" spans="1:13">
      <c r="B32" t="s">
        <v>44</v>
      </c>
      <c r="C32" t="b">
        <f ca="1">OR(ISNUMBER(FIND("VLO",P2)),ISNUMBER(FIND("XLO",P2)))</f>
        <v>1</v>
      </c>
      <c r="D32" t="b">
        <f ca="1">OR(ISNUMBER(FIND("HLO",Q2)),ISNUMBER(FIND("XLO",Q2)))</f>
        <v>1</v>
      </c>
      <c r="E32" t="b">
        <f ca="1">OR(ISNUMBER(FIND("HLO",R2)),ISNUMBER(FIND("XLO",R2)))</f>
        <v>1</v>
      </c>
      <c r="F32" t="b">
        <f ca="1">OR(ISNUMBER(FIND("*",S2)),ISNUMBER(FIND("PROD",S2)))</f>
        <v>1</v>
      </c>
      <c r="G32" t="b">
        <f ca="1">ISNUMBER(FIND("IF",P6))</f>
        <v>1</v>
      </c>
      <c r="H32" t="b">
        <f ca="1">ISNUMBER(FIND("*",U2))</f>
        <v>1</v>
      </c>
      <c r="I32" t="b">
        <f ca="1">AND(R9:R10)</f>
        <v>1</v>
      </c>
      <c r="J32" t="b">
        <f ca="1">AND(R11:R12)</f>
        <v>1</v>
      </c>
    </row>
    <row r="33" spans="1:15">
      <c r="B33" t="s">
        <v>108</v>
      </c>
      <c r="C33">
        <f ca="1">IFERROR(LEN(P2)-LEN(SUBSTITUTE(P2,"(","")),99)</f>
        <v>1</v>
      </c>
      <c r="D33">
        <f t="shared" ref="D33:J33" ca="1" si="7">IFERROR(LEN(Q2)-LEN(SUBSTITUTE(Q2,"(","")),99)</f>
        <v>1</v>
      </c>
      <c r="E33">
        <f t="shared" ca="1" si="7"/>
        <v>1</v>
      </c>
      <c r="F33">
        <f t="shared" ca="1" si="7"/>
        <v>0</v>
      </c>
      <c r="G33">
        <f t="shared" ca="1" si="7"/>
        <v>1</v>
      </c>
      <c r="H33">
        <f t="shared" ca="1" si="7"/>
        <v>1</v>
      </c>
      <c r="I33">
        <f t="shared" si="7"/>
        <v>0</v>
      </c>
      <c r="J33">
        <f t="shared" si="7"/>
        <v>0</v>
      </c>
    </row>
    <row r="34" spans="1:15">
      <c r="C34">
        <v>1</v>
      </c>
      <c r="D34">
        <v>1</v>
      </c>
      <c r="E34">
        <v>1</v>
      </c>
      <c r="F34">
        <v>1</v>
      </c>
      <c r="G34">
        <v>2</v>
      </c>
      <c r="H34">
        <v>1</v>
      </c>
      <c r="I34">
        <v>1</v>
      </c>
      <c r="J34">
        <v>1</v>
      </c>
    </row>
    <row r="35" spans="1:15">
      <c r="C35" t="b">
        <f ca="1">C33&lt;=C34</f>
        <v>1</v>
      </c>
      <c r="D35" t="b">
        <f t="shared" ref="D35:J35" ca="1" si="8">D33&lt;=D34</f>
        <v>1</v>
      </c>
      <c r="E35" t="b">
        <f t="shared" ca="1" si="8"/>
        <v>1</v>
      </c>
      <c r="F35" t="b">
        <f t="shared" ca="1" si="8"/>
        <v>1</v>
      </c>
      <c r="G35" t="b">
        <f t="shared" ca="1" si="8"/>
        <v>1</v>
      </c>
      <c r="H35" t="b">
        <f t="shared" ca="1" si="8"/>
        <v>1</v>
      </c>
      <c r="I35" t="b">
        <f t="shared" si="8"/>
        <v>1</v>
      </c>
      <c r="J35" t="b">
        <f t="shared" si="8"/>
        <v>1</v>
      </c>
    </row>
    <row r="37" spans="1:15">
      <c r="B37" t="s">
        <v>102</v>
      </c>
      <c r="C37" t="str">
        <f ca="1">IF(AND(C35,C32),C23,C24)</f>
        <v>20</v>
      </c>
      <c r="D37" t="str">
        <f t="shared" ref="D37:J37" ca="1" si="9">IF(AND(D35,D32),D23,D24)</f>
        <v>1E</v>
      </c>
      <c r="E37" t="str">
        <f t="shared" ca="1" si="9"/>
        <v>20</v>
      </c>
      <c r="F37" t="str">
        <f t="shared" ca="1" si="9"/>
        <v>7B</v>
      </c>
      <c r="G37" t="str">
        <f t="shared" ca="1" si="9"/>
        <v>17</v>
      </c>
      <c r="H37" t="str">
        <f t="shared" ca="1" si="9"/>
        <v>39</v>
      </c>
      <c r="I37" t="str">
        <f t="shared" ca="1" si="9"/>
        <v>1B</v>
      </c>
      <c r="J37" t="str">
        <f t="shared" ca="1" si="9"/>
        <v>19</v>
      </c>
    </row>
    <row r="40" spans="1:15">
      <c r="B40" t="s">
        <v>55</v>
      </c>
      <c r="C40" t="str">
        <f ca="1">C37&amp;"-"&amp;C30&amp;";"</f>
        <v>20-120C;</v>
      </c>
      <c r="D40" t="str">
        <f t="shared" ref="D40:I40" ca="1" si="10">D37&amp;"-"&amp;D30&amp;";"</f>
        <v>1E-1AB2;</v>
      </c>
      <c r="E40" t="str">
        <f t="shared" ca="1" si="10"/>
        <v>20-10E3;</v>
      </c>
      <c r="F40" t="str">
        <f t="shared" ca="1" si="10"/>
        <v>7B-1D0272;</v>
      </c>
      <c r="G40" t="str">
        <f t="shared" ca="1" si="10"/>
        <v>17-A8C;</v>
      </c>
      <c r="H40" t="str">
        <f t="shared" ca="1" si="10"/>
        <v>39-184CAA;</v>
      </c>
      <c r="I40" t="str">
        <f t="shared" ca="1" si="10"/>
        <v>1B-3C61A;</v>
      </c>
      <c r="J40" t="str">
        <f ca="1">J37&amp;"-"&amp;J30</f>
        <v>19-4068</v>
      </c>
      <c r="O40" t="str">
        <f ca="1">A2&amp;"|"&amp;C40&amp;D40&amp;E40&amp;F40&amp;G40&amp;H40&amp;I40&amp;J40</f>
        <v>EC4|20-120C;1E-1AB2;20-10E3;7B-1D0272;17-A8C;39-184CAA;1B-3C61A;19-4068</v>
      </c>
    </row>
    <row r="42" spans="1:15">
      <c r="C42" t="str">
        <f ca="1">N48</f>
        <v>EC4|20-120C;1E-1AB2;20-10E3;7B-1D0272;17-A8C;39-184CAA;1B-3C61A;19-4068</v>
      </c>
      <c r="N42" t="s">
        <v>113</v>
      </c>
      <c r="O42" t="s">
        <v>112</v>
      </c>
    </row>
    <row r="43" spans="1:15">
      <c r="N43" t="s">
        <v>114</v>
      </c>
      <c r="O43" t="s">
        <v>109</v>
      </c>
    </row>
    <row r="44" spans="1:15">
      <c r="N44" t="s">
        <v>115</v>
      </c>
      <c r="O44" t="s">
        <v>110</v>
      </c>
    </row>
    <row r="45" spans="1:15">
      <c r="N45" t="s">
        <v>115</v>
      </c>
      <c r="O45" t="s">
        <v>111</v>
      </c>
    </row>
    <row r="46" spans="1:15">
      <c r="A46" t="s">
        <v>103</v>
      </c>
      <c r="B46">
        <v>1</v>
      </c>
      <c r="C46">
        <f ca="1">IFERROR(LEN(_xlfn.FORMULATEXT('XL-Test '!E47)),0)</f>
        <v>28</v>
      </c>
      <c r="D46">
        <f ca="1">IFERROR(LEN(_xlfn.FORMULATEXT('XL-Test '!G47)),0)</f>
        <v>28</v>
      </c>
      <c r="E46">
        <f ca="1">IFERROR(LEN(_xlfn.FORMULATEXT('XL-Test '!I47)),0)</f>
        <v>28</v>
      </c>
      <c r="F46">
        <f ca="1">IFERROR(LEN(_xlfn.FORMULATEXT('XL-Test '!J47)),0)</f>
        <v>8</v>
      </c>
      <c r="G46">
        <f ca="1">IFERROR(LEN(_xlfn.FORMULATEXT('XL-Test '!K47)),0)</f>
        <v>43</v>
      </c>
      <c r="H46">
        <f ca="1">IFERROR(LEN(_xlfn.FORMULATEXT('XL-Test '!L47)),0)</f>
        <v>14</v>
      </c>
    </row>
    <row r="47" spans="1:15">
      <c r="B47">
        <v>2</v>
      </c>
      <c r="C47">
        <f ca="1">IFERROR(LEN(_xlfn.FORMULATEXT('XL-Test '!E48)),0)</f>
        <v>28</v>
      </c>
      <c r="D47">
        <f ca="1">IFERROR(LEN(_xlfn.FORMULATEXT('XL-Test '!G48)),0)</f>
        <v>28</v>
      </c>
      <c r="E47">
        <f ca="1">IFERROR(LEN(_xlfn.FORMULATEXT('XL-Test '!I48)),0)</f>
        <v>28</v>
      </c>
      <c r="F47">
        <f ca="1">IFERROR(LEN(_xlfn.FORMULATEXT('XL-Test '!J48)),0)</f>
        <v>8</v>
      </c>
      <c r="G47">
        <f ca="1">IFERROR(LEN(_xlfn.FORMULATEXT('XL-Test '!K48)),0)</f>
        <v>43</v>
      </c>
      <c r="H47">
        <f ca="1">IFERROR(LEN(_xlfn.FORMULATEXT('XL-Test '!L48)),0)</f>
        <v>14</v>
      </c>
      <c r="N47" t="str">
        <f>VLOOKUP("PO",N42:O45,2,0)&amp;VLOOKUP("SK",N42:O45,2,0)</f>
        <v>DFGO</v>
      </c>
    </row>
    <row r="48" spans="1:15">
      <c r="B48">
        <v>3</v>
      </c>
      <c r="C48">
        <f ca="1">IFERROR(LEN(_xlfn.FORMULATEXT('XL-Test '!E49)),0)</f>
        <v>28</v>
      </c>
      <c r="D48">
        <f ca="1">IFERROR(LEN(_xlfn.FORMULATEXT('XL-Test '!G49)),0)</f>
        <v>28</v>
      </c>
      <c r="E48">
        <f ca="1">IFERROR(LEN(_xlfn.FORMULATEXT('XL-Test '!I49)),0)</f>
        <v>28</v>
      </c>
      <c r="F48">
        <f ca="1">IFERROR(LEN(_xlfn.FORMULATEXT('XL-Test '!J49)),0)</f>
        <v>8</v>
      </c>
      <c r="G48">
        <f ca="1">IFERROR(LEN(_xlfn.FORMULATEXT('XL-Test '!K49)),0)</f>
        <v>43</v>
      </c>
      <c r="H48">
        <f ca="1">IFERROR(LEN(_xlfn.FORMULATEXT('XL-Test '!L49)),0)</f>
        <v>14</v>
      </c>
      <c r="N48" t="str" cm="1">
        <f t="array" aca="1" ref="N48" ca="1">INDIRECT(N47)</f>
        <v>EC4|20-120C;1E-1AB2;20-10E3;7B-1D0272;17-A8C;39-184CAA;1B-3C61A;19-4068</v>
      </c>
    </row>
    <row r="49" spans="2:8">
      <c r="B49">
        <v>4</v>
      </c>
      <c r="C49">
        <f ca="1">IFERROR(LEN(_xlfn.FORMULATEXT('XL-Test '!E50)),0)</f>
        <v>28</v>
      </c>
      <c r="D49">
        <f ca="1">IFERROR(LEN(_xlfn.FORMULATEXT('XL-Test '!G50)),0)</f>
        <v>28</v>
      </c>
      <c r="E49">
        <f ca="1">IFERROR(LEN(_xlfn.FORMULATEXT('XL-Test '!I50)),0)</f>
        <v>28</v>
      </c>
      <c r="F49">
        <f ca="1">IFERROR(LEN(_xlfn.FORMULATEXT('XL-Test '!J50)),0)</f>
        <v>8</v>
      </c>
      <c r="G49">
        <f ca="1">IFERROR(LEN(_xlfn.FORMULATEXT('XL-Test '!K50)),0)</f>
        <v>43</v>
      </c>
      <c r="H49">
        <f ca="1">IFERROR(LEN(_xlfn.FORMULATEXT('XL-Test '!L50)),0)</f>
        <v>14</v>
      </c>
    </row>
    <row r="50" spans="2:8">
      <c r="B50">
        <v>5</v>
      </c>
      <c r="C50">
        <f ca="1">IFERROR(LEN(_xlfn.FORMULATEXT('XL-Test '!E51)),0)</f>
        <v>28</v>
      </c>
      <c r="D50">
        <f ca="1">IFERROR(LEN(_xlfn.FORMULATEXT('XL-Test '!G51)),0)</f>
        <v>28</v>
      </c>
      <c r="E50">
        <f ca="1">IFERROR(LEN(_xlfn.FORMULATEXT('XL-Test '!I51)),0)</f>
        <v>28</v>
      </c>
      <c r="F50">
        <f ca="1">IFERROR(LEN(_xlfn.FORMULATEXT('XL-Test '!J51)),0)</f>
        <v>8</v>
      </c>
      <c r="G50">
        <f ca="1">IFERROR(LEN(_xlfn.FORMULATEXT('XL-Test '!K51)),0)</f>
        <v>43</v>
      </c>
      <c r="H50">
        <f ca="1">IFERROR(LEN(_xlfn.FORMULATEXT('XL-Test '!L51)),0)</f>
        <v>14</v>
      </c>
    </row>
    <row r="51" spans="2:8">
      <c r="B51">
        <v>6</v>
      </c>
      <c r="C51">
        <f ca="1">IFERROR(LEN(_xlfn.FORMULATEXT('XL-Test '!E52)),0)</f>
        <v>28</v>
      </c>
      <c r="D51">
        <f ca="1">IFERROR(LEN(_xlfn.FORMULATEXT('XL-Test '!G52)),0)</f>
        <v>28</v>
      </c>
      <c r="E51">
        <f ca="1">IFERROR(LEN(_xlfn.FORMULATEXT('XL-Test '!I52)),0)</f>
        <v>28</v>
      </c>
      <c r="F51">
        <f ca="1">IFERROR(LEN(_xlfn.FORMULATEXT('XL-Test '!J52)),0)</f>
        <v>8</v>
      </c>
      <c r="G51">
        <f ca="1">IFERROR(LEN(_xlfn.FORMULATEXT('XL-Test '!K52)),0)</f>
        <v>43</v>
      </c>
      <c r="H51">
        <f ca="1">IFERROR(LEN(_xlfn.FORMULATEXT('XL-Test '!L52)),0)</f>
        <v>14</v>
      </c>
    </row>
    <row r="52" spans="2:8">
      <c r="B52">
        <v>7</v>
      </c>
      <c r="C52">
        <f ca="1">IFERROR(LEN(_xlfn.FORMULATEXT('XL-Test '!E53)),0)</f>
        <v>28</v>
      </c>
      <c r="D52">
        <f ca="1">IFERROR(LEN(_xlfn.FORMULATEXT('XL-Test '!G53)),0)</f>
        <v>28</v>
      </c>
      <c r="E52">
        <f ca="1">IFERROR(LEN(_xlfn.FORMULATEXT('XL-Test '!I53)),0)</f>
        <v>28</v>
      </c>
      <c r="F52">
        <f ca="1">IFERROR(LEN(_xlfn.FORMULATEXT('XL-Test '!J53)),0)</f>
        <v>8</v>
      </c>
      <c r="G52">
        <f ca="1">IFERROR(LEN(_xlfn.FORMULATEXT('XL-Test '!K53)),0)</f>
        <v>43</v>
      </c>
      <c r="H52">
        <f ca="1">IFERROR(LEN(_xlfn.FORMULATEXT('XL-Test '!L53)),0)</f>
        <v>14</v>
      </c>
    </row>
    <row r="53" spans="2:8">
      <c r="B53">
        <v>8</v>
      </c>
      <c r="C53">
        <f ca="1">IFERROR(LEN(_xlfn.FORMULATEXT('XL-Test '!E54)),0)</f>
        <v>28</v>
      </c>
      <c r="D53">
        <f ca="1">IFERROR(LEN(_xlfn.FORMULATEXT('XL-Test '!G54)),0)</f>
        <v>28</v>
      </c>
      <c r="E53">
        <f ca="1">IFERROR(LEN(_xlfn.FORMULATEXT('XL-Test '!I54)),0)</f>
        <v>28</v>
      </c>
      <c r="F53">
        <f ca="1">IFERROR(LEN(_xlfn.FORMULATEXT('XL-Test '!J54)),0)</f>
        <v>8</v>
      </c>
      <c r="G53">
        <f ca="1">IFERROR(LEN(_xlfn.FORMULATEXT('XL-Test '!K54)),0)</f>
        <v>43</v>
      </c>
      <c r="H53">
        <f ca="1">IFERROR(LEN(_xlfn.FORMULATEXT('XL-Test '!L54)),0)</f>
        <v>14</v>
      </c>
    </row>
    <row r="54" spans="2:8">
      <c r="B54">
        <v>9</v>
      </c>
      <c r="C54">
        <f ca="1">IFERROR(LEN(_xlfn.FORMULATEXT('XL-Test '!E55)),0)</f>
        <v>28</v>
      </c>
      <c r="D54">
        <f ca="1">IFERROR(LEN(_xlfn.FORMULATEXT('XL-Test '!G55)),0)</f>
        <v>28</v>
      </c>
      <c r="E54">
        <f ca="1">IFERROR(LEN(_xlfn.FORMULATEXT('XL-Test '!I55)),0)</f>
        <v>28</v>
      </c>
      <c r="F54">
        <f ca="1">IFERROR(LEN(_xlfn.FORMULATEXT('XL-Test '!J55)),0)</f>
        <v>8</v>
      </c>
      <c r="G54">
        <f ca="1">IFERROR(LEN(_xlfn.FORMULATEXT('XL-Test '!K55)),0)</f>
        <v>43</v>
      </c>
      <c r="H54">
        <f ca="1">IFERROR(LEN(_xlfn.FORMULATEXT('XL-Test '!L55)),0)</f>
        <v>14</v>
      </c>
    </row>
    <row r="55" spans="2:8">
      <c r="B55">
        <v>10</v>
      </c>
      <c r="C55">
        <f ca="1">IFERROR(LEN(_xlfn.FORMULATEXT('XL-Test '!E56)),0)</f>
        <v>28</v>
      </c>
      <c r="D55">
        <f ca="1">IFERROR(LEN(_xlfn.FORMULATEXT('XL-Test '!G56)),0)</f>
        <v>28</v>
      </c>
      <c r="E55">
        <f ca="1">IFERROR(LEN(_xlfn.FORMULATEXT('XL-Test '!I56)),0)</f>
        <v>28</v>
      </c>
      <c r="F55">
        <f ca="1">IFERROR(LEN(_xlfn.FORMULATEXT('XL-Test '!J56)),0)</f>
        <v>8</v>
      </c>
      <c r="G55">
        <f ca="1">IFERROR(LEN(_xlfn.FORMULATEXT('XL-Test '!K56)),0)</f>
        <v>43</v>
      </c>
      <c r="H55">
        <f ca="1">IFERROR(LEN(_xlfn.FORMULATEXT('XL-Test '!L56)),0)</f>
        <v>14</v>
      </c>
    </row>
    <row r="56" spans="2:8">
      <c r="B56">
        <v>11</v>
      </c>
      <c r="C56">
        <f ca="1">IFERROR(LEN(_xlfn.FORMULATEXT('XL-Test '!E57)),0)</f>
        <v>28</v>
      </c>
      <c r="D56">
        <f ca="1">IFERROR(LEN(_xlfn.FORMULATEXT('XL-Test '!G57)),0)</f>
        <v>28</v>
      </c>
      <c r="E56">
        <f ca="1">IFERROR(LEN(_xlfn.FORMULATEXT('XL-Test '!I57)),0)</f>
        <v>28</v>
      </c>
      <c r="F56">
        <f ca="1">IFERROR(LEN(_xlfn.FORMULATEXT('XL-Test '!J57)),0)</f>
        <v>8</v>
      </c>
      <c r="G56">
        <f ca="1">IFERROR(LEN(_xlfn.FORMULATEXT('XL-Test '!K57)),0)</f>
        <v>43</v>
      </c>
      <c r="H56">
        <f ca="1">IFERROR(LEN(_xlfn.FORMULATEXT('XL-Test '!L57)),0)</f>
        <v>14</v>
      </c>
    </row>
    <row r="57" spans="2:8">
      <c r="B57">
        <v>12</v>
      </c>
      <c r="C57">
        <f ca="1">IFERROR(LEN(_xlfn.FORMULATEXT('XL-Test '!E58)),0)</f>
        <v>28</v>
      </c>
      <c r="D57">
        <f ca="1">IFERROR(LEN(_xlfn.FORMULATEXT('XL-Test '!G58)),0)</f>
        <v>28</v>
      </c>
      <c r="E57">
        <f ca="1">IFERROR(LEN(_xlfn.FORMULATEXT('XL-Test '!I58)),0)</f>
        <v>28</v>
      </c>
      <c r="F57">
        <f ca="1">IFERROR(LEN(_xlfn.FORMULATEXT('XL-Test '!J58)),0)</f>
        <v>8</v>
      </c>
      <c r="G57">
        <f ca="1">IFERROR(LEN(_xlfn.FORMULATEXT('XL-Test '!K58)),0)</f>
        <v>43</v>
      </c>
      <c r="H57">
        <f ca="1">IFERROR(LEN(_xlfn.FORMULATEXT('XL-Test '!L58)),0)</f>
        <v>14</v>
      </c>
    </row>
    <row r="58" spans="2:8">
      <c r="B58">
        <v>13</v>
      </c>
      <c r="C58">
        <f ca="1">IFERROR(LEN(_xlfn.FORMULATEXT('XL-Test '!E59)),0)</f>
        <v>28</v>
      </c>
      <c r="D58">
        <f ca="1">IFERROR(LEN(_xlfn.FORMULATEXT('XL-Test '!G59)),0)</f>
        <v>28</v>
      </c>
      <c r="E58">
        <f ca="1">IFERROR(LEN(_xlfn.FORMULATEXT('XL-Test '!I59)),0)</f>
        <v>28</v>
      </c>
      <c r="F58">
        <f ca="1">IFERROR(LEN(_xlfn.FORMULATEXT('XL-Test '!J59)),0)</f>
        <v>8</v>
      </c>
      <c r="G58">
        <f ca="1">IFERROR(LEN(_xlfn.FORMULATEXT('XL-Test '!K59)),0)</f>
        <v>43</v>
      </c>
      <c r="H58">
        <f ca="1">IFERROR(LEN(_xlfn.FORMULATEXT('XL-Test '!L59)),0)</f>
        <v>14</v>
      </c>
    </row>
    <row r="59" spans="2:8">
      <c r="B59">
        <v>14</v>
      </c>
      <c r="C59">
        <f ca="1">IFERROR(LEN(_xlfn.FORMULATEXT('XL-Test '!E60)),0)</f>
        <v>28</v>
      </c>
      <c r="D59">
        <f ca="1">IFERROR(LEN(_xlfn.FORMULATEXT('XL-Test '!G60)),0)</f>
        <v>28</v>
      </c>
      <c r="E59">
        <f ca="1">IFERROR(LEN(_xlfn.FORMULATEXT('XL-Test '!I60)),0)</f>
        <v>28</v>
      </c>
      <c r="F59">
        <f ca="1">IFERROR(LEN(_xlfn.FORMULATEXT('XL-Test '!J60)),0)</f>
        <v>8</v>
      </c>
      <c r="G59">
        <f ca="1">IFERROR(LEN(_xlfn.FORMULATEXT('XL-Test '!K60)),0)</f>
        <v>43</v>
      </c>
      <c r="H59">
        <f ca="1">IFERROR(LEN(_xlfn.FORMULATEXT('XL-Test '!L60)),0)</f>
        <v>14</v>
      </c>
    </row>
    <row r="60" spans="2:8">
      <c r="B60">
        <v>15</v>
      </c>
      <c r="C60">
        <f ca="1">IFERROR(LEN(_xlfn.FORMULATEXT('XL-Test '!E61)),0)</f>
        <v>28</v>
      </c>
      <c r="D60">
        <f ca="1">IFERROR(LEN(_xlfn.FORMULATEXT('XL-Test '!G61)),0)</f>
        <v>28</v>
      </c>
      <c r="E60">
        <f ca="1">IFERROR(LEN(_xlfn.FORMULATEXT('XL-Test '!I61)),0)</f>
        <v>28</v>
      </c>
      <c r="F60">
        <f ca="1">IFERROR(LEN(_xlfn.FORMULATEXT('XL-Test '!J61)),0)</f>
        <v>8</v>
      </c>
      <c r="G60">
        <f ca="1">IFERROR(LEN(_xlfn.FORMULATEXT('XL-Test '!K61)),0)</f>
        <v>43</v>
      </c>
      <c r="H60">
        <f ca="1">IFERROR(LEN(_xlfn.FORMULATEXT('XL-Test '!L61)),0)</f>
        <v>14</v>
      </c>
    </row>
    <row r="63" spans="2:8">
      <c r="B63" t="s">
        <v>104</v>
      </c>
      <c r="C63" t="b">
        <f ca="1">AVERAGE(C46:C60)=C46</f>
        <v>1</v>
      </c>
      <c r="D63" t="b">
        <f t="shared" ref="D63:H63" ca="1" si="11">AVERAGE(D46:D60)=D46</f>
        <v>1</v>
      </c>
      <c r="E63" t="b">
        <f t="shared" ca="1" si="11"/>
        <v>1</v>
      </c>
      <c r="F63" t="b">
        <f t="shared" ca="1" si="11"/>
        <v>1</v>
      </c>
      <c r="G63" t="b">
        <f t="shared" ca="1" si="11"/>
        <v>1</v>
      </c>
      <c r="H63" t="b">
        <f t="shared" ca="1" si="11"/>
        <v>1</v>
      </c>
    </row>
    <row r="64" spans="2:8">
      <c r="B64" t="s">
        <v>105</v>
      </c>
      <c r="C64" t="b">
        <f t="shared" ref="C64:H64" ca="1" si="12">AND(C46&gt;0,C50=0,LEN(C6)&gt;0)</f>
        <v>0</v>
      </c>
      <c r="D64" t="b">
        <f t="shared" ca="1" si="12"/>
        <v>0</v>
      </c>
      <c r="E64" t="b">
        <f t="shared" ca="1" si="12"/>
        <v>0</v>
      </c>
      <c r="F64" t="b">
        <f t="shared" ca="1" si="12"/>
        <v>0</v>
      </c>
      <c r="G64" t="b">
        <f t="shared" ca="1" si="12"/>
        <v>0</v>
      </c>
      <c r="H64" t="b">
        <f t="shared" ca="1" si="12"/>
        <v>0</v>
      </c>
    </row>
    <row r="66" spans="2:8">
      <c r="B66" t="s">
        <v>106</v>
      </c>
      <c r="C66" t="b">
        <f ca="1">IFERROR(OR(C63:C64),FALSE)</f>
        <v>1</v>
      </c>
      <c r="D66" t="b">
        <f t="shared" ref="D66:H66" ca="1" si="13">IFERROR(OR(D63:D64),FALSE)</f>
        <v>1</v>
      </c>
      <c r="E66" t="b">
        <f t="shared" ca="1" si="13"/>
        <v>1</v>
      </c>
      <c r="F66" t="b">
        <f t="shared" ca="1" si="13"/>
        <v>1</v>
      </c>
      <c r="G66" t="b">
        <f t="shared" ca="1" si="13"/>
        <v>1</v>
      </c>
      <c r="H66" t="b">
        <f t="shared" ca="1" si="1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XL-Test </vt:lpstr>
      <vt:lpstr>About</vt:lpstr>
      <vt:lpstr>DF!DFGO</vt:lpstr>
      <vt:lpstr>Kode_jawaban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ASUS K16</cp:lastModifiedBy>
  <dcterms:created xsi:type="dcterms:W3CDTF">2025-05-15T11:48:17Z</dcterms:created>
  <dcterms:modified xsi:type="dcterms:W3CDTF">2026-08-08T14:10:42Z</dcterms:modified>
</cp:coreProperties>
</file>