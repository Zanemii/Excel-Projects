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Ekspedisi\"/>
    </mc:Choice>
  </mc:AlternateContent>
  <xr:revisionPtr revIDLastSave="0" documentId="13_ncr:1_{30C9416E-CCC8-4872-97C2-4D8268DE8A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3" i="2"/>
  <c r="H4" i="2"/>
  <c r="H5" i="2"/>
  <c r="H6" i="2"/>
  <c r="H7" i="2"/>
  <c r="H8" i="2"/>
  <c r="H9" i="2"/>
  <c r="H3" i="2"/>
  <c r="F4" i="2" a="1"/>
  <c r="F4" i="2"/>
  <c r="F5" i="2" a="1"/>
  <c r="F5" i="2"/>
  <c r="F6" i="2" a="1"/>
  <c r="F6" i="2"/>
  <c r="F7" i="2" a="1"/>
  <c r="F7" i="2"/>
  <c r="F8" i="2" a="1"/>
  <c r="F8" i="2"/>
  <c r="F9" i="2" a="1"/>
  <c r="F9" i="2"/>
  <c r="F3" i="2" a="1"/>
  <c r="F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<sst xmlns="http://schemas.openxmlformats.org/spreadsheetml/2006/main" count="30" uniqueCount="27">
  <si>
    <t>No</t>
  </si>
  <si>
    <t>Nama Barang</t>
  </si>
  <si>
    <t>Harga</t>
  </si>
  <si>
    <t>Diskon</t>
  </si>
  <si>
    <t>Biaya Kirim</t>
  </si>
  <si>
    <t>Total Bayar</t>
  </si>
  <si>
    <t>Lemari Sliding</t>
  </si>
  <si>
    <t>Meja Mini Paris</t>
  </si>
  <si>
    <t>Kursi Set MX</t>
  </si>
  <si>
    <t>Dipan Sorong B</t>
  </si>
  <si>
    <t>Dipan Solid</t>
  </si>
  <si>
    <t>Lemari Anak BB</t>
  </si>
  <si>
    <t>Lemari Anak BD</t>
  </si>
  <si>
    <t>1. Diskon dengan ketentuan berikut :</t>
  </si>
  <si>
    <t>2. Biaya Kirim dengan ketentuan berikut :</t>
  </si>
  <si>
    <t>Jika Jarak Tempuh 5 Km atau kurang maka gratis biaya pengiriman</t>
  </si>
  <si>
    <t>Jarak Pengiriman</t>
  </si>
  <si>
    <t>Kategori</t>
  </si>
  <si>
    <t>Lemari</t>
  </si>
  <si>
    <t>Meja</t>
  </si>
  <si>
    <t>Kursi</t>
  </si>
  <si>
    <t>Dipan</t>
  </si>
  <si>
    <t xml:space="preserve"> Pembelian Lemari    dapat Diskon 10 %</t>
  </si>
  <si>
    <t xml:space="preserve"> Pembelian Kursi      dapat Diskon 12 %</t>
  </si>
  <si>
    <t xml:space="preserve"> Pembelian Dipan    dapat Diskon   8 %</t>
  </si>
  <si>
    <t xml:space="preserve"> Pembelian Meja      dapat Diskon 15 %</t>
  </si>
  <si>
    <t>Jika Jarak Tempuh diatas 5 Km maka dikenakan Biaya Rp. 10.000,- 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</si>
</sst>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General\ &quot;Km&quot;"/>
    <numFmt numFmtId="167" formatCode="[$Rp-421]#,##0.00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Yu Gothic UI Semibold"/>
      <family val="2"/>
    </font>
    <font>
      <b/>
      <sz val="14"/>
      <color theme="1"/>
      <name val="Yu Gothic UI Semibold"/>
      <family val="2"/>
    </font>
    <font>
      <sz val="14"/>
      <color theme="1"/>
      <name val="Yu Gothic UI Semibold"/>
      <family val="2"/>
    </font>
    <font>
      <sz val="14"/>
      <name val="Yu Gothic UI Semibold"/>
      <family val="2"/>
    </font>
    <font>
      <u/>
      <sz val="11"/>
      <color theme="10"/>
      <name val="Calibri"/>
      <family val="2"/>
      <charset val="1"/>
      <scheme val="minor"/>
    </font>
    <font>
      <b/>
      <sz val="16"/>
      <color theme="1"/>
      <name val="Yu Gothic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double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1" applyFont="1"/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1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164" fontId="7" fillId="0" borderId="7" xfId="1" applyFont="1" applyBorder="1" applyAlignment="1">
      <alignment horizontal="center"/>
    </xf>
    <xf numFmtId="9" fontId="5" fillId="0" borderId="5" xfId="2" applyFont="1" applyBorder="1" applyAlignment="1">
      <alignment horizontal="left"/>
    </xf>
    <xf numFmtId="164" fontId="6" fillId="0" borderId="7" xfId="3" applyNumberFormat="1" applyBorder="1" applyAlignment="1">
      <alignment horizontal="center"/>
    </xf>
    <xf numFmtId="167" fontId="4" fillId="0" borderId="5" xfId="1" applyNumberFormat="1" applyFont="1" applyBorder="1"/>
    <xf numFmtId="167" fontId="5" fillId="0" borderId="5" xfId="4" applyNumberFormat="1" applyFont="1" applyBorder="1" applyAlignment="1">
      <alignment horizontal="left"/>
    </xf>
    <xf numFmtId="167" fontId="5" fillId="0" borderId="6" xfId="0" applyNumberFormat="1" applyFont="1" applyBorder="1" applyAlignment="1">
      <alignment horizontal="left"/>
    </xf>
  </cellXfs>
  <cellStyles count="5">
    <cellStyle name="Comma" xfId="4" builtinId="3"/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673E-CF33-442E-9CEE-2786E5DD9AB6}">
  <sheetPr>
    <tabColor theme="0"/>
  </sheetPr>
  <dimension ref="B1:I16"/>
  <sheetViews>
    <sheetView tabSelected="1" workbookViewId="0">
      <selection activeCell="E19" sqref="E19"/>
    </sheetView>
  </sheetViews>
  <sheetFormatPr defaultColWidth="9.109375" defaultRowHeight="16.8" x14ac:dyDescent="0.4"/>
  <cols>
    <col min="1" max="1" width="7.109375" style="2" customWidth="1"/>
    <col min="2" max="2" width="7.88671875" style="1" customWidth="1"/>
    <col min="3" max="3" width="27" style="2" customWidth="1"/>
    <col min="4" max="4" width="14.88671875" style="1" customWidth="1"/>
    <col min="5" max="5" width="19.6640625" style="3" customWidth="1"/>
    <col min="6" max="6" width="18" style="2" customWidth="1"/>
    <col min="7" max="7" width="25.5546875" style="1" customWidth="1"/>
    <col min="8" max="8" width="25" style="2" customWidth="1"/>
    <col min="9" max="9" width="26.6640625" style="2" customWidth="1"/>
    <col min="10" max="16384" width="9.109375" style="2"/>
  </cols>
  <sheetData>
    <row r="1" spans="2:9" ht="17.399999999999999" thickBot="1" x14ac:dyDescent="0.45"/>
    <row r="2" spans="2:9" s="4" customFormat="1" ht="37.5" customHeight="1" thickTop="1" thickBot="1" x14ac:dyDescent="0.35">
      <c r="B2" s="11" t="s">
        <v>0</v>
      </c>
      <c r="C2" s="12" t="s">
        <v>1</v>
      </c>
      <c r="D2" s="12" t="s">
        <v>17</v>
      </c>
      <c r="E2" s="13" t="s">
        <v>2</v>
      </c>
      <c r="F2" s="12" t="s">
        <v>3</v>
      </c>
      <c r="G2" s="12" t="s">
        <v>16</v>
      </c>
      <c r="H2" s="12" t="s">
        <v>4</v>
      </c>
      <c r="I2" s="14" t="s">
        <v>5</v>
      </c>
    </row>
    <row r="3" spans="2:9" ht="21.6" thickTop="1" thickBot="1" x14ac:dyDescent="0.5">
      <c r="B3" s="5">
        <v>1</v>
      </c>
      <c r="C3" s="6" t="s">
        <v>6</v>
      </c>
      <c r="D3" s="7" t="s">
        <v>18</v>
      </c>
      <c r="E3" s="24">
        <v>5500000</v>
      </c>
      <c r="F3" s="22" cm="1">
        <f t="array" ref="F3">_xlfn.IFS(D3="Lemari",10%,D3="Meja",15%,D3="Kursi",12%,D3="Dipan",8%)</f>
        <v>0.1</v>
      </c>
      <c r="G3" s="15">
        <v>11</v>
      </c>
      <c r="H3" s="25">
        <f>IF(G3&gt;5,G3*10000,0)</f>
        <v>110000</v>
      </c>
      <c r="I3" s="26">
        <f>E3+H3</f>
        <v>5610000</v>
      </c>
    </row>
    <row r="4" spans="2:9" ht="21.6" thickTop="1" thickBot="1" x14ac:dyDescent="0.5">
      <c r="B4" s="5">
        <v>2</v>
      </c>
      <c r="C4" s="6" t="s">
        <v>7</v>
      </c>
      <c r="D4" s="7" t="s">
        <v>19</v>
      </c>
      <c r="E4" s="24">
        <v>1200000</v>
      </c>
      <c r="F4" s="22" cm="1">
        <f t="array" ref="F4">_xlfn.IFS(D4="Lemari",10%,D4="Meja",15%,D4="Kursi",12%,D4="Dipan",8%)</f>
        <v>0.15</v>
      </c>
      <c r="G4" s="15">
        <v>5</v>
      </c>
      <c r="H4" s="25">
        <f t="shared" ref="H4:H9" si="0">IF(G4&gt;5,G4*10000,0)</f>
        <v>0</v>
      </c>
      <c r="I4" s="26">
        <f t="shared" ref="I4:I9" si="1">E4+H4</f>
        <v>1200000</v>
      </c>
    </row>
    <row r="5" spans="2:9" ht="21.6" thickTop="1" thickBot="1" x14ac:dyDescent="0.5">
      <c r="B5" s="5">
        <v>3</v>
      </c>
      <c r="C5" s="6" t="s">
        <v>8</v>
      </c>
      <c r="D5" s="7" t="s">
        <v>20</v>
      </c>
      <c r="E5" s="24">
        <v>6200000</v>
      </c>
      <c r="F5" s="22" cm="1">
        <f t="array" ref="F5">_xlfn.IFS(D5="Lemari",10%,D5="Meja",15%,D5="Kursi",12%,D5="Dipan",8%)</f>
        <v>0.12</v>
      </c>
      <c r="G5" s="15">
        <v>3</v>
      </c>
      <c r="H5" s="25">
        <f t="shared" si="0"/>
        <v>0</v>
      </c>
      <c r="I5" s="26">
        <f t="shared" si="1"/>
        <v>6200000</v>
      </c>
    </row>
    <row r="6" spans="2:9" ht="21.6" thickTop="1" thickBot="1" x14ac:dyDescent="0.5">
      <c r="B6" s="5">
        <v>4</v>
      </c>
      <c r="C6" s="6" t="s">
        <v>9</v>
      </c>
      <c r="D6" s="7" t="s">
        <v>21</v>
      </c>
      <c r="E6" s="24">
        <v>3000000</v>
      </c>
      <c r="F6" s="22" cm="1">
        <f t="array" ref="F6">_xlfn.IFS(D6="Lemari",10%,D6="Meja",15%,D6="Kursi",12%,D6="Dipan",8%)</f>
        <v>0.08</v>
      </c>
      <c r="G6" s="15">
        <v>12</v>
      </c>
      <c r="H6" s="25">
        <f t="shared" si="0"/>
        <v>120000</v>
      </c>
      <c r="I6" s="26">
        <f t="shared" si="1"/>
        <v>3120000</v>
      </c>
    </row>
    <row r="7" spans="2:9" ht="21.6" thickTop="1" thickBot="1" x14ac:dyDescent="0.5">
      <c r="B7" s="5">
        <v>5</v>
      </c>
      <c r="C7" s="6" t="s">
        <v>10</v>
      </c>
      <c r="D7" s="7" t="s">
        <v>21</v>
      </c>
      <c r="E7" s="24">
        <v>1600000</v>
      </c>
      <c r="F7" s="22" cm="1">
        <f t="array" ref="F7">_xlfn.IFS(D7="Lemari",10%,D7="Meja",15%,D7="Kursi",12%,D7="Dipan",8%)</f>
        <v>0.08</v>
      </c>
      <c r="G7" s="15">
        <v>15</v>
      </c>
      <c r="H7" s="25">
        <f t="shared" si="0"/>
        <v>150000</v>
      </c>
      <c r="I7" s="26">
        <f t="shared" si="1"/>
        <v>1750000</v>
      </c>
    </row>
    <row r="8" spans="2:9" ht="21.6" thickTop="1" thickBot="1" x14ac:dyDescent="0.5">
      <c r="B8" s="5">
        <v>6</v>
      </c>
      <c r="C8" s="6" t="s">
        <v>11</v>
      </c>
      <c r="D8" s="7" t="s">
        <v>18</v>
      </c>
      <c r="E8" s="24">
        <v>1800000</v>
      </c>
      <c r="F8" s="22" cm="1">
        <f t="array" ref="F8">_xlfn.IFS(D8="Lemari",10%,D8="Meja",15%,D8="Kursi",12%,D8="Dipan",8%)</f>
        <v>0.1</v>
      </c>
      <c r="G8" s="15">
        <v>8</v>
      </c>
      <c r="H8" s="25">
        <f t="shared" si="0"/>
        <v>80000</v>
      </c>
      <c r="I8" s="26">
        <f t="shared" si="1"/>
        <v>1880000</v>
      </c>
    </row>
    <row r="9" spans="2:9" ht="21.6" thickTop="1" thickBot="1" x14ac:dyDescent="0.5">
      <c r="B9" s="5">
        <v>7</v>
      </c>
      <c r="C9" s="6" t="s">
        <v>12</v>
      </c>
      <c r="D9" s="7" t="s">
        <v>18</v>
      </c>
      <c r="E9" s="24">
        <v>2100000</v>
      </c>
      <c r="F9" s="22" cm="1">
        <f t="array" ref="F9">_xlfn.IFS(D9="Lemari",10%,D9="Meja",15%,D9="Kursi",12%,D9="Dipan",8%)</f>
        <v>0.1</v>
      </c>
      <c r="G9" s="15">
        <v>7</v>
      </c>
      <c r="H9" s="25">
        <f t="shared" si="0"/>
        <v>70000</v>
      </c>
      <c r="I9" s="26">
        <f t="shared" si="1"/>
        <v>2170000</v>
      </c>
    </row>
    <row r="10" spans="2:9" ht="25.2" thickTop="1" x14ac:dyDescent="0.55000000000000004">
      <c r="B10" s="17"/>
      <c r="C10" s="17"/>
      <c r="D10" s="17"/>
      <c r="E10" s="23"/>
      <c r="F10" s="21"/>
      <c r="G10" s="21"/>
      <c r="H10" s="9"/>
      <c r="I10" s="9"/>
    </row>
    <row r="11" spans="2:9" ht="20.399999999999999" x14ac:dyDescent="0.45">
      <c r="B11" s="19" t="s">
        <v>13</v>
      </c>
      <c r="C11" s="19"/>
      <c r="D11" s="19"/>
      <c r="E11" s="19"/>
      <c r="F11" s="19" t="s">
        <v>14</v>
      </c>
      <c r="G11" s="19"/>
      <c r="H11" s="19"/>
      <c r="I11" s="19"/>
    </row>
    <row r="12" spans="2:9" ht="20.399999999999999" x14ac:dyDescent="0.45">
      <c r="B12" s="18" t="s">
        <v>22</v>
      </c>
      <c r="C12" s="18"/>
      <c r="D12" s="18"/>
      <c r="E12" s="18"/>
      <c r="F12" s="18" t="s">
        <v>15</v>
      </c>
      <c r="G12" s="18"/>
      <c r="H12" s="18"/>
      <c r="I12" s="18"/>
    </row>
    <row r="13" spans="2:9" ht="20.25" customHeight="1" x14ac:dyDescent="0.45">
      <c r="B13" s="18" t="s">
        <v>25</v>
      </c>
      <c r="C13" s="18"/>
      <c r="D13" s="18"/>
      <c r="E13" s="18"/>
      <c r="F13" s="20" t="s">
        <v>26</v>
      </c>
      <c r="G13" s="20"/>
      <c r="H13" s="20"/>
      <c r="I13" s="20"/>
    </row>
    <row r="14" spans="2:9" ht="20.399999999999999" x14ac:dyDescent="0.45">
      <c r="B14" s="18" t="s">
        <v>23</v>
      </c>
      <c r="C14" s="18"/>
      <c r="D14" s="18"/>
      <c r="E14" s="18"/>
      <c r="F14" s="16"/>
      <c r="G14" s="16"/>
      <c r="H14" s="16"/>
      <c r="I14" s="16"/>
    </row>
    <row r="15" spans="2:9" ht="20.399999999999999" x14ac:dyDescent="0.45">
      <c r="B15" s="18" t="s">
        <v>24</v>
      </c>
      <c r="C15" s="18"/>
      <c r="D15" s="18"/>
      <c r="E15" s="18"/>
      <c r="F15" s="9"/>
      <c r="G15" s="8"/>
      <c r="H15" s="9"/>
      <c r="I15" s="9"/>
    </row>
    <row r="16" spans="2:9" ht="20.399999999999999" x14ac:dyDescent="0.45">
      <c r="B16" s="8"/>
      <c r="C16" s="9"/>
      <c r="D16" s="8"/>
      <c r="E16" s="10"/>
      <c r="F16" s="9"/>
      <c r="G16" s="8"/>
      <c r="H16" s="9"/>
      <c r="I16" s="9"/>
    </row>
  </sheetData>
  <mergeCells count="10">
    <mergeCell ref="B10:D10"/>
    <mergeCell ref="B15:E15"/>
    <mergeCell ref="B11:E11"/>
    <mergeCell ref="F11:I11"/>
    <mergeCell ref="B12:E12"/>
    <mergeCell ref="F12:I12"/>
    <mergeCell ref="B13:E13"/>
    <mergeCell ref="B14:E14"/>
    <mergeCell ref="F13:I13"/>
    <mergeCell ref="E10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ASUS K16</cp:lastModifiedBy>
  <dcterms:created xsi:type="dcterms:W3CDTF">2021-01-31T09:17:39Z</dcterms:created>
  <dcterms:modified xsi:type="dcterms:W3CDTF">2026-08-15T06:33:02Z</dcterms:modified>
</cp:coreProperties>
</file>