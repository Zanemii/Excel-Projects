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Klinik\"/>
    </mc:Choice>
  </mc:AlternateContent>
  <xr:revisionPtr revIDLastSave="0" documentId="13_ncr:1_{87EB487E-BD13-4403-8482-27022A32E8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" l="1"/>
  <c r="L5" i="4"/>
  <c r="L6" i="4"/>
  <c r="L7" i="4"/>
  <c r="L8" i="4"/>
  <c r="L3" i="4"/>
  <c r="G4" i="4"/>
  <c r="G5" i="4"/>
  <c r="G6" i="4"/>
  <c r="G7" i="4"/>
  <c r="G8" i="4"/>
  <c r="G3" i="4"/>
  <c r="K4" i="4"/>
  <c r="K5" i="4"/>
  <c r="K6" i="4"/>
  <c r="K7" i="4"/>
  <c r="K8" i="4"/>
  <c r="K3" i="4"/>
  <c r="I4" i="4"/>
  <c r="I5" i="4"/>
  <c r="I6" i="4"/>
  <c r="I7" i="4"/>
  <c r="I8" i="4"/>
  <c r="I3" i="4"/>
</calcChain>
</file>

<file path=xl/sharedStrings.xml><?xml version="1.0" encoding="utf-8"?>
<sst xmlns="http://schemas.openxmlformats.org/spreadsheetml/2006/main" count="55" uniqueCount="46">
  <si>
    <t>THT</t>
  </si>
  <si>
    <t>T</t>
  </si>
  <si>
    <t>B</t>
  </si>
  <si>
    <t>A</t>
  </si>
  <si>
    <t>BPJS</t>
  </si>
  <si>
    <t>No</t>
  </si>
  <si>
    <t>No Kartu</t>
  </si>
  <si>
    <t>Nama Pasien</t>
  </si>
  <si>
    <t>Poli</t>
  </si>
  <si>
    <t>Umur</t>
  </si>
  <si>
    <t>Fasilitas</t>
  </si>
  <si>
    <t>Jumlah Periksa (Kali)</t>
  </si>
  <si>
    <t>Cek Lab</t>
  </si>
  <si>
    <t>Jenis Fasilitas</t>
  </si>
  <si>
    <t>Tanpa Asuransi</t>
  </si>
  <si>
    <t>Asuransi Mandiri</t>
  </si>
  <si>
    <t>Biaya Periksa</t>
  </si>
  <si>
    <t>Total Biaya</t>
  </si>
  <si>
    <t>SOAL</t>
  </si>
  <si>
    <t>Biaya Obat</t>
  </si>
  <si>
    <t>Kode Kartu</t>
  </si>
  <si>
    <t>Ketentuan :</t>
  </si>
  <si>
    <t>Daniel</t>
  </si>
  <si>
    <t>Siska</t>
  </si>
  <si>
    <t>Syafira</t>
  </si>
  <si>
    <t>Kevin</t>
  </si>
  <si>
    <t>Angga</t>
  </si>
  <si>
    <t>Fitri</t>
  </si>
  <si>
    <t>Tempat LAB</t>
  </si>
  <si>
    <t>KA</t>
  </si>
  <si>
    <t>KB</t>
  </si>
  <si>
    <t>KC</t>
  </si>
  <si>
    <t>P-KB-B03</t>
  </si>
  <si>
    <t>P-KA-T01</t>
  </si>
  <si>
    <t>P-KC-B02</t>
  </si>
  <si>
    <t>P-KB-B04</t>
  </si>
  <si>
    <t>P-KC-A05</t>
  </si>
  <si>
    <t>P-KC-A06</t>
  </si>
  <si>
    <t>Umum</t>
  </si>
  <si>
    <t>Orthopedia</t>
  </si>
  <si>
    <t>Kandungan</t>
  </si>
  <si>
    <t>Gigi</t>
  </si>
  <si>
    <r>
      <rPr>
        <b/>
        <sz val="11"/>
        <rFont val="Yu Gothic UI Semibold"/>
        <family val="2"/>
      </rPr>
      <t>TEMPAT CEK LAB</t>
    </r>
    <r>
      <rPr>
        <sz val="11"/>
        <rFont val="Yu Gothic UI Semibold"/>
        <family val="2"/>
      </rPr>
      <t xml:space="preserve"> ditentukan JIKA umur pasien adalah lebih dari 35 tahun dan jumlah periksa lebih dari 2 kali dengan kategori tempat cek lab ditentukan berdasarkan jenis fasilitas asuransi sebagai berikut :</t>
    </r>
  </si>
  <si>
    <t>LAB. Mawar</t>
  </si>
  <si>
    <t>LAB. Melati</t>
  </si>
  <si>
    <t>LAB. 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</si>
</sst>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_-"/>
    <numFmt numFmtId="165" formatCode="_-* #,##0_-;\-* #,##0_-;_-* &quot;-&quot;_-;_-@_-"/>
    <numFmt numFmtId="166" formatCode="_(&quot;Rp&quot;* #,##0_);_(&quot;Rp&quot;* \(#,##0\);_(&quot;Rp&quot;* &quot;-&quot;_);_(@_)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Yu Gothic UI Semibold"/>
      <family val="2"/>
    </font>
    <font>
      <b/>
      <sz val="11"/>
      <color theme="0"/>
      <name val="Yu Gothic UI Semibold"/>
      <family val="2"/>
    </font>
    <font>
      <sz val="11"/>
      <color theme="1"/>
      <name val="Yu Gothic UI Semibold"/>
      <family val="2"/>
    </font>
    <font>
      <b/>
      <sz val="1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charset val="1"/>
      <scheme val="minor"/>
    </font>
    <font>
      <b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4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2" xfId="1" applyNumberFormat="1" applyFont="1" applyFill="1" applyBorder="1"/>
    <xf numFmtId="166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4" fillId="0" borderId="5" xfId="0" applyFont="1" applyBorder="1"/>
    <xf numFmtId="0" fontId="2" fillId="0" borderId="5" xfId="0" applyFont="1" applyBorder="1" applyAlignment="1">
      <alignment horizontal="center"/>
    </xf>
    <xf numFmtId="164" fontId="2" fillId="0" borderId="5" xfId="1" applyNumberFormat="1" applyFont="1" applyFill="1" applyBorder="1"/>
    <xf numFmtId="0" fontId="5" fillId="2" borderId="0" xfId="0" applyFont="1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3" fontId="3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/>
    </xf>
    <xf numFmtId="3" fontId="6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2" borderId="0" xfId="2" applyFont="1" applyFill="1" applyAlignment="1">
      <alignment horizontal="center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  <color rgb="FFFCF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B1:M32"/>
  <sheetViews>
    <sheetView tabSelected="1" workbookViewId="0">
      <selection activeCell="G25" sqref="G25"/>
    </sheetView>
  </sheetViews>
  <sheetFormatPr defaultColWidth="9.109375" defaultRowHeight="16.8" x14ac:dyDescent="0.4"/>
  <cols>
    <col min="1" max="1" width="4" style="1" customWidth="1"/>
    <col min="2" max="2" width="4.5546875" style="1" customWidth="1"/>
    <col min="3" max="3" width="14.44140625" style="1" customWidth="1"/>
    <col min="4" max="4" width="16.44140625" style="1" customWidth="1"/>
    <col min="5" max="5" width="16" style="1" customWidth="1"/>
    <col min="6" max="6" width="6.5546875" style="1" customWidth="1"/>
    <col min="7" max="7" width="18" style="1" customWidth="1"/>
    <col min="8" max="8" width="14.44140625" style="1" customWidth="1"/>
    <col min="9" max="9" width="17.6640625" style="1" customWidth="1"/>
    <col min="10" max="10" width="19.44140625" style="1" bestFit="1" customWidth="1"/>
    <col min="11" max="11" width="14.33203125" style="1" customWidth="1"/>
    <col min="12" max="12" width="20.44140625" style="1" customWidth="1"/>
    <col min="13" max="13" width="18.109375" style="1" customWidth="1"/>
    <col min="14" max="14" width="16.88671875" style="1" customWidth="1"/>
    <col min="15" max="16384" width="9.109375" style="1"/>
  </cols>
  <sheetData>
    <row r="1" spans="2:13" ht="27" customHeight="1" x14ac:dyDescent="0.4">
      <c r="B1" s="29" t="s">
        <v>18</v>
      </c>
      <c r="C1" s="29"/>
      <c r="D1" s="29"/>
      <c r="E1" s="33"/>
      <c r="F1" s="33"/>
      <c r="G1" s="33"/>
      <c r="H1" s="29"/>
      <c r="I1" s="29"/>
      <c r="J1" s="29"/>
      <c r="K1" s="29"/>
      <c r="L1" s="29"/>
      <c r="M1" s="29"/>
    </row>
    <row r="2" spans="2:13" ht="33.6" x14ac:dyDescent="0.4">
      <c r="B2" s="20" t="s">
        <v>5</v>
      </c>
      <c r="C2" s="20" t="s">
        <v>6</v>
      </c>
      <c r="D2" s="20" t="s">
        <v>7</v>
      </c>
      <c r="E2" s="20" t="s">
        <v>8</v>
      </c>
      <c r="F2" s="20" t="s">
        <v>9</v>
      </c>
      <c r="G2" s="20" t="s">
        <v>10</v>
      </c>
      <c r="H2" s="20" t="s">
        <v>11</v>
      </c>
      <c r="I2" s="20" t="s">
        <v>16</v>
      </c>
      <c r="J2" s="20" t="s">
        <v>19</v>
      </c>
      <c r="K2" s="20" t="s">
        <v>17</v>
      </c>
      <c r="L2" s="20" t="s">
        <v>12</v>
      </c>
    </row>
    <row r="3" spans="2:13" x14ac:dyDescent="0.4">
      <c r="B3" s="2">
        <v>1</v>
      </c>
      <c r="C3" s="3" t="s">
        <v>33</v>
      </c>
      <c r="D3" s="4" t="s">
        <v>22</v>
      </c>
      <c r="E3" s="3" t="s">
        <v>38</v>
      </c>
      <c r="F3" s="5">
        <v>22</v>
      </c>
      <c r="G3" s="3" t="str">
        <f>HLOOKUP(_xlfn.VALUETOTEXT(MID(C3,6,1)),$C$13:$G$14,2,FALSE)</f>
        <v>Tanpa Asuransi</v>
      </c>
      <c r="H3" s="5">
        <v>3</v>
      </c>
      <c r="I3" s="6">
        <f>VLOOKUP(MID(C3,3,2),$C$17:$D$20,2)</f>
        <v>50000</v>
      </c>
      <c r="J3" s="6">
        <v>150000</v>
      </c>
      <c r="K3" s="7">
        <f>I3*H3+J3</f>
        <v>300000</v>
      </c>
      <c r="L3" s="8" t="str">
        <f>IF(AND(F3&gt;35,H3&gt;2),HLOOKUP(G3,$I$16:$L$17,2,FALSE),"Tidak Cek Lab")</f>
        <v>Tidak Cek Lab</v>
      </c>
    </row>
    <row r="4" spans="2:13" x14ac:dyDescent="0.4">
      <c r="B4" s="9">
        <v>2</v>
      </c>
      <c r="C4" s="10" t="s">
        <v>34</v>
      </c>
      <c r="D4" s="11" t="s">
        <v>23</v>
      </c>
      <c r="E4" s="10" t="s">
        <v>38</v>
      </c>
      <c r="F4" s="12">
        <v>25</v>
      </c>
      <c r="G4" s="3" t="str">
        <f t="shared" ref="G4:G8" si="0">HLOOKUP(_xlfn.VALUETOTEXT(MID(C4,6,1)),$C$13:$G$14,2,FALSE)</f>
        <v>BPJS</v>
      </c>
      <c r="H4" s="12">
        <v>2</v>
      </c>
      <c r="I4" s="6">
        <f t="shared" ref="I4:I8" si="1">VLOOKUP(MID(C4,3,2),$C$17:$D$20,2)</f>
        <v>100000</v>
      </c>
      <c r="J4" s="13">
        <v>200000</v>
      </c>
      <c r="K4" s="7">
        <f t="shared" ref="K4:K8" si="2">I4*H4+J4</f>
        <v>400000</v>
      </c>
      <c r="L4" s="8" t="str">
        <f t="shared" ref="L4:L8" si="3">IF(AND(F4&gt;35,H4&gt;2),HLOOKUP(G4,$I$16:$L$17,2,FALSE),"Tidak Cek Lab")</f>
        <v>Tidak Cek Lab</v>
      </c>
    </row>
    <row r="5" spans="2:13" x14ac:dyDescent="0.4">
      <c r="B5" s="9">
        <v>3</v>
      </c>
      <c r="C5" s="10" t="s">
        <v>32</v>
      </c>
      <c r="D5" s="11" t="s">
        <v>25</v>
      </c>
      <c r="E5" s="10" t="s">
        <v>39</v>
      </c>
      <c r="F5" s="12">
        <v>55</v>
      </c>
      <c r="G5" s="3" t="str">
        <f t="shared" si="0"/>
        <v>BPJS</v>
      </c>
      <c r="H5" s="12">
        <v>3</v>
      </c>
      <c r="I5" s="6">
        <f t="shared" si="1"/>
        <v>70000</v>
      </c>
      <c r="J5" s="13">
        <v>300000</v>
      </c>
      <c r="K5" s="7">
        <f t="shared" si="2"/>
        <v>510000</v>
      </c>
      <c r="L5" s="8" t="str">
        <f t="shared" si="3"/>
        <v>LAB. Melati</v>
      </c>
    </row>
    <row r="6" spans="2:13" x14ac:dyDescent="0.4">
      <c r="B6" s="9">
        <v>4</v>
      </c>
      <c r="C6" s="10" t="s">
        <v>35</v>
      </c>
      <c r="D6" s="11" t="s">
        <v>24</v>
      </c>
      <c r="E6" s="10" t="s">
        <v>40</v>
      </c>
      <c r="F6" s="12">
        <v>28</v>
      </c>
      <c r="G6" s="3" t="str">
        <f t="shared" si="0"/>
        <v>BPJS</v>
      </c>
      <c r="H6" s="12">
        <v>4</v>
      </c>
      <c r="I6" s="6">
        <f t="shared" si="1"/>
        <v>70000</v>
      </c>
      <c r="J6" s="13">
        <v>750000</v>
      </c>
      <c r="K6" s="7">
        <f t="shared" si="2"/>
        <v>1030000</v>
      </c>
      <c r="L6" s="8" t="str">
        <f t="shared" si="3"/>
        <v>Tidak Cek Lab</v>
      </c>
    </row>
    <row r="7" spans="2:13" x14ac:dyDescent="0.4">
      <c r="B7" s="9">
        <v>5</v>
      </c>
      <c r="C7" s="10" t="s">
        <v>36</v>
      </c>
      <c r="D7" s="11" t="s">
        <v>26</v>
      </c>
      <c r="E7" s="10" t="s">
        <v>0</v>
      </c>
      <c r="F7" s="12">
        <v>40</v>
      </c>
      <c r="G7" s="3" t="str">
        <f t="shared" si="0"/>
        <v>Asuransi Mandiri</v>
      </c>
      <c r="H7" s="12">
        <v>3</v>
      </c>
      <c r="I7" s="6">
        <f t="shared" si="1"/>
        <v>100000</v>
      </c>
      <c r="J7" s="13">
        <v>250000</v>
      </c>
      <c r="K7" s="7">
        <f t="shared" si="2"/>
        <v>550000</v>
      </c>
      <c r="L7" s="8" t="str">
        <f t="shared" si="3"/>
        <v>LAB. Violet</v>
      </c>
    </row>
    <row r="8" spans="2:13" x14ac:dyDescent="0.4">
      <c r="B8" s="9">
        <v>6</v>
      </c>
      <c r="C8" s="10" t="s">
        <v>37</v>
      </c>
      <c r="D8" s="11" t="s">
        <v>27</v>
      </c>
      <c r="E8" s="10" t="s">
        <v>41</v>
      </c>
      <c r="F8" s="12">
        <v>45</v>
      </c>
      <c r="G8" s="3" t="str">
        <f t="shared" si="0"/>
        <v>Asuransi Mandiri</v>
      </c>
      <c r="H8" s="12">
        <v>1</v>
      </c>
      <c r="I8" s="6">
        <f t="shared" si="1"/>
        <v>100000</v>
      </c>
      <c r="J8" s="13">
        <v>500000</v>
      </c>
      <c r="K8" s="7">
        <f t="shared" si="2"/>
        <v>600000</v>
      </c>
      <c r="L8" s="8" t="str">
        <f t="shared" si="3"/>
        <v>Tidak Cek Lab</v>
      </c>
    </row>
    <row r="9" spans="2:13" ht="9.75" customHeight="1" x14ac:dyDescent="0.4"/>
    <row r="10" spans="2:13" x14ac:dyDescent="0.4">
      <c r="B10" s="14" t="s">
        <v>21</v>
      </c>
    </row>
    <row r="11" spans="2:13" ht="3.75" customHeight="1" x14ac:dyDescent="0.4">
      <c r="B11" s="14"/>
    </row>
    <row r="12" spans="2:13" x14ac:dyDescent="0.4">
      <c r="C12" s="14" t="s">
        <v>10</v>
      </c>
      <c r="I12" s="30" t="s">
        <v>42</v>
      </c>
      <c r="J12" s="30"/>
      <c r="K12" s="30"/>
      <c r="L12" s="30"/>
      <c r="M12" s="30"/>
    </row>
    <row r="13" spans="2:13" ht="18" customHeight="1" x14ac:dyDescent="0.4">
      <c r="C13" s="21" t="s">
        <v>20</v>
      </c>
      <c r="D13" s="24" t="s">
        <v>1</v>
      </c>
      <c r="E13" s="24" t="s">
        <v>2</v>
      </c>
      <c r="F13" s="31" t="s">
        <v>3</v>
      </c>
      <c r="G13" s="31"/>
      <c r="H13" s="15"/>
      <c r="I13" s="30"/>
      <c r="J13" s="30"/>
      <c r="K13" s="30"/>
      <c r="L13" s="30"/>
      <c r="M13" s="30"/>
    </row>
    <row r="14" spans="2:13" x14ac:dyDescent="0.4">
      <c r="C14" s="25" t="s">
        <v>13</v>
      </c>
      <c r="D14" s="16" t="s">
        <v>14</v>
      </c>
      <c r="E14" s="16" t="s">
        <v>4</v>
      </c>
      <c r="F14" s="32" t="s">
        <v>15</v>
      </c>
      <c r="G14" s="32"/>
      <c r="I14" s="30"/>
      <c r="J14" s="30"/>
      <c r="K14" s="30"/>
      <c r="L14" s="30"/>
      <c r="M14" s="30"/>
    </row>
    <row r="15" spans="2:13" ht="10.5" customHeight="1" x14ac:dyDescent="0.4">
      <c r="I15" s="30"/>
      <c r="J15" s="30"/>
      <c r="K15" s="30"/>
      <c r="L15" s="30"/>
      <c r="M15" s="30"/>
    </row>
    <row r="16" spans="2:13" x14ac:dyDescent="0.4">
      <c r="C16" s="14" t="s">
        <v>16</v>
      </c>
      <c r="I16" s="23" t="s">
        <v>13</v>
      </c>
      <c r="J16" s="27" t="s">
        <v>14</v>
      </c>
      <c r="K16" s="27" t="s">
        <v>4</v>
      </c>
      <c r="L16" s="28" t="s">
        <v>15</v>
      </c>
      <c r="M16"/>
    </row>
    <row r="17" spans="2:13" ht="16.5" customHeight="1" x14ac:dyDescent="0.4">
      <c r="C17" s="22" t="s">
        <v>20</v>
      </c>
      <c r="D17" s="22" t="s">
        <v>16</v>
      </c>
      <c r="I17" s="26" t="s">
        <v>28</v>
      </c>
      <c r="J17" s="18" t="s">
        <v>43</v>
      </c>
      <c r="K17" s="18" t="s">
        <v>44</v>
      </c>
      <c r="L17" s="18" t="s">
        <v>45</v>
      </c>
      <c r="M17"/>
    </row>
    <row r="18" spans="2:13" ht="16.5" customHeight="1" x14ac:dyDescent="0.4">
      <c r="C18" s="16" t="s">
        <v>29</v>
      </c>
      <c r="D18" s="17">
        <v>50000</v>
      </c>
    </row>
    <row r="19" spans="2:13" x14ac:dyDescent="0.4">
      <c r="C19" s="16" t="s">
        <v>30</v>
      </c>
      <c r="D19" s="17">
        <v>70000</v>
      </c>
    </row>
    <row r="20" spans="2:13" x14ac:dyDescent="0.4">
      <c r="C20" s="16" t="s">
        <v>31</v>
      </c>
      <c r="D20" s="17">
        <v>100000</v>
      </c>
    </row>
    <row r="26" spans="2:13" ht="35.25" customHeight="1" x14ac:dyDescent="0.4">
      <c r="I26" s="19"/>
      <c r="J26" s="19"/>
      <c r="K26" s="19"/>
      <c r="L26" s="19"/>
    </row>
    <row r="27" spans="2:13" x14ac:dyDescent="0.4">
      <c r="I27" s="19"/>
      <c r="J27" s="19"/>
      <c r="K27" s="19"/>
      <c r="L27" s="19"/>
    </row>
    <row r="31" spans="2:13" ht="16.5" customHeight="1" x14ac:dyDescent="0.4">
      <c r="C31" s="19"/>
      <c r="D31" s="19"/>
      <c r="E31" s="19"/>
      <c r="F31" s="19"/>
      <c r="G31" s="19"/>
      <c r="H31" s="19"/>
    </row>
    <row r="32" spans="2:13" x14ac:dyDescent="0.4">
      <c r="B32" s="19"/>
      <c r="C32" s="19"/>
      <c r="D32" s="19"/>
      <c r="E32" s="19"/>
      <c r="F32" s="19"/>
      <c r="G32" s="19"/>
      <c r="H32" s="19"/>
    </row>
  </sheetData>
  <mergeCells count="4">
    <mergeCell ref="I12:M15"/>
    <mergeCell ref="F13:G13"/>
    <mergeCell ref="F14:G14"/>
    <mergeCell ref="E1:G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ASUS K16</cp:lastModifiedBy>
  <dcterms:created xsi:type="dcterms:W3CDTF">2020-02-20T07:17:42Z</dcterms:created>
  <dcterms:modified xsi:type="dcterms:W3CDTF">2026-08-24T15:10:00Z</dcterms:modified>
</cp:coreProperties>
</file>