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Latsol\Empty\"/>
    </mc:Choice>
  </mc:AlternateContent>
  <xr:revisionPtr revIDLastSave="0" documentId="13_ncr:1_{2B5593CF-2449-465D-8D38-6425C4A37EAF}" xr6:coauthVersionLast="47" xr6:coauthVersionMax="47" xr10:uidLastSave="{00000000-0000-0000-0000-000000000000}"/>
  <workbookProtection workbookAlgorithmName="SHA-512" workbookHashValue="a7U8v0GqJj1li0ntg5LU0iGjJeA+qctylQ13E5WPt+lrgNMGHeD/AMUz019yoFeXWRECVq690PGYAhKqppNn6w==" workbookSaltValue="3lT1KWVugIssDx/1V7otYA==" workbookSpinCount="100000" lockStructure="1"/>
  <bookViews>
    <workbookView xWindow="-108" yWindow="-108" windowWidth="23256" windowHeight="13896" xr2:uid="{CF9B1521-3B8B-455C-975B-35A7862AFF0C}"/>
  </bookViews>
  <sheets>
    <sheet name="XL-Test" sheetId="1" r:id="rId1"/>
    <sheet name="DF" sheetId="2" state="veryHidden" r:id="rId2"/>
    <sheet name="About" sheetId="3" r:id="rId3"/>
  </sheets>
  <definedNames>
    <definedName name="Kode_jawaban">DF!$C$45</definedName>
    <definedName name="sayajo" localSheetId="1">DF!$C$40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N37" i="1"/>
  <c r="N38" i="1"/>
  <c r="N39" i="1"/>
  <c r="L6" i="2" s="1"/>
  <c r="P6" i="2" s="1"/>
  <c r="N40" i="1"/>
  <c r="L7" i="2" s="1"/>
  <c r="P7" i="2" s="1"/>
  <c r="N41" i="1"/>
  <c r="L8" i="2" s="1"/>
  <c r="P8" i="2" s="1"/>
  <c r="N42" i="1"/>
  <c r="L9" i="2" s="1"/>
  <c r="P9" i="2" s="1"/>
  <c r="N43" i="1"/>
  <c r="L10" i="2" s="1"/>
  <c r="P10" i="2" s="1"/>
  <c r="N44" i="1"/>
  <c r="L11" i="2" s="1"/>
  <c r="P11" i="2" s="1"/>
  <c r="N45" i="1"/>
  <c r="L12" i="2" s="1"/>
  <c r="P12" i="2" s="1"/>
  <c r="N46" i="1"/>
  <c r="L13" i="2" s="1"/>
  <c r="P13" i="2" s="1"/>
  <c r="N47" i="1"/>
  <c r="L14" i="2" s="1"/>
  <c r="P14" i="2" s="1"/>
  <c r="N48" i="1"/>
  <c r="N49" i="1"/>
  <c r="N35" i="1"/>
  <c r="K36" i="1"/>
  <c r="K37" i="1"/>
  <c r="K38" i="1"/>
  <c r="K39" i="1"/>
  <c r="K40" i="1"/>
  <c r="K41" i="1"/>
  <c r="I8" i="2" s="1"/>
  <c r="K42" i="1"/>
  <c r="I9" i="2" s="1"/>
  <c r="K43" i="1"/>
  <c r="I10" i="2" s="1"/>
  <c r="K44" i="1"/>
  <c r="K45" i="1"/>
  <c r="I12" i="2" s="1"/>
  <c r="K46" i="1"/>
  <c r="I13" i="2" s="1"/>
  <c r="K47" i="1"/>
  <c r="I14" i="2" s="1"/>
  <c r="K48" i="1"/>
  <c r="K49" i="1"/>
  <c r="K35" i="1"/>
  <c r="I2" i="2" s="1"/>
  <c r="I26" i="2" s="1"/>
  <c r="J36" i="1"/>
  <c r="H3" i="2" s="1"/>
  <c r="J37" i="1"/>
  <c r="J38" i="1"/>
  <c r="H5" i="2" s="1"/>
  <c r="J39" i="1"/>
  <c r="H6" i="2" s="1"/>
  <c r="J40" i="1"/>
  <c r="H7" i="2" s="1"/>
  <c r="J41" i="1"/>
  <c r="H8" i="2" s="1"/>
  <c r="J42" i="1"/>
  <c r="H9" i="2" s="1"/>
  <c r="J43" i="1"/>
  <c r="H10" i="2" s="1"/>
  <c r="J44" i="1"/>
  <c r="H11" i="2" s="1"/>
  <c r="J45" i="1"/>
  <c r="H12" i="2" s="1"/>
  <c r="J46" i="1"/>
  <c r="J47" i="1"/>
  <c r="J48" i="1"/>
  <c r="J49" i="1"/>
  <c r="H16" i="2" s="1"/>
  <c r="J35" i="1"/>
  <c r="H2" i="2" s="1"/>
  <c r="H26" i="2" s="1"/>
  <c r="I36" i="1"/>
  <c r="G3" i="2" s="1"/>
  <c r="O3" i="2" s="1"/>
  <c r="I37" i="1"/>
  <c r="G4" i="2" s="1"/>
  <c r="O4" i="2" s="1"/>
  <c r="I45" i="1"/>
  <c r="G12" i="2" s="1"/>
  <c r="O12" i="2" s="1"/>
  <c r="I46" i="1"/>
  <c r="G13" i="2" s="1"/>
  <c r="O13" i="2" s="1"/>
  <c r="I49" i="1"/>
  <c r="G16" i="2" s="1"/>
  <c r="O16" i="2" s="1"/>
  <c r="H36" i="1"/>
  <c r="H37" i="1"/>
  <c r="F4" i="2" s="1"/>
  <c r="H38" i="1"/>
  <c r="F5" i="2" s="1"/>
  <c r="H39" i="1"/>
  <c r="F6" i="2" s="1"/>
  <c r="H40" i="1"/>
  <c r="I40" i="1" s="1"/>
  <c r="G7" i="2" s="1"/>
  <c r="O7" i="2" s="1"/>
  <c r="H41" i="1"/>
  <c r="F8" i="2" s="1"/>
  <c r="H42" i="1"/>
  <c r="F9" i="2" s="1"/>
  <c r="H43" i="1"/>
  <c r="I43" i="1" s="1"/>
  <c r="G10" i="2" s="1"/>
  <c r="O10" i="2" s="1"/>
  <c r="H44" i="1"/>
  <c r="F11" i="2" s="1"/>
  <c r="H45" i="1"/>
  <c r="F12" i="2" s="1"/>
  <c r="H46" i="1"/>
  <c r="F13" i="2" s="1"/>
  <c r="H47" i="1"/>
  <c r="F14" i="2" s="1"/>
  <c r="H48" i="1"/>
  <c r="I48" i="1" s="1"/>
  <c r="G15" i="2" s="1"/>
  <c r="O15" i="2" s="1"/>
  <c r="H49" i="1"/>
  <c r="H35" i="1"/>
  <c r="F2" i="2" s="1"/>
  <c r="F26" i="2" s="1"/>
  <c r="G36" i="1"/>
  <c r="E3" i="2" s="1"/>
  <c r="N3" i="2" s="1"/>
  <c r="G37" i="1"/>
  <c r="E4" i="2" s="1"/>
  <c r="N4" i="2" s="1"/>
  <c r="G38" i="1"/>
  <c r="L38" i="1" s="1" a="1"/>
  <c r="L38" i="1" s="1"/>
  <c r="J5" i="2" s="1"/>
  <c r="G39" i="1"/>
  <c r="E6" i="2" s="1"/>
  <c r="N6" i="2" s="1"/>
  <c r="G40" i="1"/>
  <c r="E7" i="2" s="1"/>
  <c r="N7" i="2" s="1"/>
  <c r="G41" i="1"/>
  <c r="E8" i="2" s="1"/>
  <c r="N8" i="2" s="1"/>
  <c r="G42" i="1"/>
  <c r="E9" i="2" s="1"/>
  <c r="N9" i="2" s="1"/>
  <c r="G43" i="1"/>
  <c r="E10" i="2" s="1"/>
  <c r="N10" i="2" s="1"/>
  <c r="G44" i="1"/>
  <c r="E11" i="2" s="1"/>
  <c r="N11" i="2" s="1"/>
  <c r="G45" i="1"/>
  <c r="L45" i="1" s="1" a="1"/>
  <c r="L45" i="1" s="1"/>
  <c r="J12" i="2" s="1"/>
  <c r="G46" i="1"/>
  <c r="E13" i="2" s="1"/>
  <c r="N13" i="2" s="1"/>
  <c r="G47" i="1"/>
  <c r="E14" i="2" s="1"/>
  <c r="N14" i="2" s="1"/>
  <c r="G48" i="1"/>
  <c r="L48" i="1" s="1" a="1"/>
  <c r="L48" i="1" s="1"/>
  <c r="J15" i="2" s="1"/>
  <c r="G49" i="1"/>
  <c r="E16" i="2" s="1"/>
  <c r="N16" i="2" s="1"/>
  <c r="G35" i="1"/>
  <c r="E2" i="2" s="1"/>
  <c r="E5" i="2"/>
  <c r="N5" i="2" s="1"/>
  <c r="F36" i="1"/>
  <c r="D3" i="2" s="1"/>
  <c r="F37" i="1"/>
  <c r="D4" i="2" s="1"/>
  <c r="F38" i="1"/>
  <c r="D5" i="2" s="1"/>
  <c r="F39" i="1"/>
  <c r="D6" i="2" s="1"/>
  <c r="F40" i="1"/>
  <c r="D7" i="2" s="1"/>
  <c r="F41" i="1"/>
  <c r="D8" i="2" s="1"/>
  <c r="F42" i="1"/>
  <c r="D9" i="2" s="1"/>
  <c r="F43" i="1"/>
  <c r="D10" i="2" s="1"/>
  <c r="F44" i="1"/>
  <c r="D11" i="2" s="1"/>
  <c r="F45" i="1"/>
  <c r="D12" i="2" s="1"/>
  <c r="F46" i="1"/>
  <c r="D13" i="2" s="1"/>
  <c r="F47" i="1"/>
  <c r="D14" i="2" s="1"/>
  <c r="F48" i="1"/>
  <c r="D15" i="2" s="1"/>
  <c r="F49" i="1"/>
  <c r="D16" i="2" s="1"/>
  <c r="F35" i="1"/>
  <c r="D2" i="2" s="1"/>
  <c r="D26" i="2" s="1"/>
  <c r="D36" i="1"/>
  <c r="C3" i="2" s="1"/>
  <c r="M3" i="2" s="1"/>
  <c r="D37" i="1"/>
  <c r="C4" i="2" s="1"/>
  <c r="M4" i="2" s="1"/>
  <c r="D38" i="1"/>
  <c r="D39" i="1"/>
  <c r="C6" i="2" s="1"/>
  <c r="M6" i="2" s="1"/>
  <c r="D40" i="1"/>
  <c r="C7" i="2" s="1"/>
  <c r="M7" i="2" s="1"/>
  <c r="D41" i="1"/>
  <c r="C8" i="2" s="1"/>
  <c r="M8" i="2" s="1"/>
  <c r="D42" i="1"/>
  <c r="C9" i="2" s="1"/>
  <c r="M9" i="2" s="1"/>
  <c r="D43" i="1"/>
  <c r="C10" i="2" s="1"/>
  <c r="M10" i="2" s="1"/>
  <c r="D44" i="1"/>
  <c r="C11" i="2" s="1"/>
  <c r="M11" i="2" s="1"/>
  <c r="D45" i="1"/>
  <c r="C12" i="2" s="1"/>
  <c r="M12" i="2" s="1"/>
  <c r="D46" i="1"/>
  <c r="C13" i="2" s="1"/>
  <c r="M13" i="2" s="1"/>
  <c r="D47" i="1"/>
  <c r="C14" i="2" s="1"/>
  <c r="M14" i="2" s="1"/>
  <c r="D48" i="1"/>
  <c r="C15" i="2" s="1"/>
  <c r="M15" i="2" s="1"/>
  <c r="D49" i="1"/>
  <c r="C16" i="2" s="1"/>
  <c r="M16" i="2" s="1"/>
  <c r="D35" i="1"/>
  <c r="C2" i="2" s="1"/>
  <c r="M2" i="2" s="1"/>
  <c r="C5" i="2"/>
  <c r="M5" i="2" s="1"/>
  <c r="L3" i="2"/>
  <c r="P3" i="2" s="1"/>
  <c r="L4" i="2"/>
  <c r="P4" i="2" s="1"/>
  <c r="L5" i="2"/>
  <c r="P5" i="2" s="1"/>
  <c r="L15" i="2"/>
  <c r="P15" i="2" s="1"/>
  <c r="L16" i="2"/>
  <c r="P16" i="2" s="1"/>
  <c r="L2" i="2"/>
  <c r="P2" i="2" s="1"/>
  <c r="D24" i="2"/>
  <c r="E24" i="2"/>
  <c r="F24" i="2"/>
  <c r="G24" i="2"/>
  <c r="H24" i="2"/>
  <c r="I24" i="2"/>
  <c r="J24" i="2"/>
  <c r="K24" i="2"/>
  <c r="L24" i="2"/>
  <c r="C24" i="2"/>
  <c r="D23" i="2"/>
  <c r="E23" i="2"/>
  <c r="F23" i="2"/>
  <c r="G23" i="2"/>
  <c r="H23" i="2"/>
  <c r="I23" i="2"/>
  <c r="J23" i="2"/>
  <c r="K23" i="2"/>
  <c r="L23" i="2"/>
  <c r="C23" i="2"/>
  <c r="F3" i="2"/>
  <c r="I3" i="2"/>
  <c r="I4" i="2"/>
  <c r="I5" i="2"/>
  <c r="I6" i="2"/>
  <c r="I7" i="2"/>
  <c r="I11" i="2"/>
  <c r="E12" i="2"/>
  <c r="N12" i="2" s="1"/>
  <c r="E15" i="2"/>
  <c r="N15" i="2" s="1"/>
  <c r="F15" i="2"/>
  <c r="I15" i="2"/>
  <c r="F16" i="2"/>
  <c r="I16" i="2"/>
  <c r="U24" i="2"/>
  <c r="R35" i="2"/>
  <c r="T22" i="2"/>
  <c r="U34" i="2"/>
  <c r="T28" i="2"/>
  <c r="U27" i="2"/>
  <c r="R28" i="2"/>
  <c r="U2" i="2"/>
  <c r="T31" i="2"/>
  <c r="P25" i="2"/>
  <c r="Q22" i="2"/>
  <c r="T29" i="2"/>
  <c r="P24" i="2"/>
  <c r="T32" i="2"/>
  <c r="T35" i="2"/>
  <c r="U26" i="2"/>
  <c r="Y29" i="2"/>
  <c r="U23" i="2"/>
  <c r="S34" i="2"/>
  <c r="W31" i="2"/>
  <c r="X31" i="2"/>
  <c r="U30" i="2"/>
  <c r="V36" i="2"/>
  <c r="X32" i="2"/>
  <c r="W2" i="2"/>
  <c r="X26" i="2"/>
  <c r="U36" i="2"/>
  <c r="P33" i="2"/>
  <c r="S26" i="2"/>
  <c r="Y33" i="2"/>
  <c r="Y32" i="2"/>
  <c r="Q34" i="2"/>
  <c r="W22" i="2"/>
  <c r="R31" i="2"/>
  <c r="Q32" i="2"/>
  <c r="X28" i="2"/>
  <c r="U29" i="2"/>
  <c r="T33" i="2"/>
  <c r="P34" i="2"/>
  <c r="W25" i="2"/>
  <c r="S23" i="2"/>
  <c r="W26" i="2"/>
  <c r="V34" i="2"/>
  <c r="V29" i="2"/>
  <c r="P31" i="2"/>
  <c r="S11" i="2"/>
  <c r="Q30" i="2"/>
  <c r="V32" i="2"/>
  <c r="U33" i="2"/>
  <c r="R24" i="2"/>
  <c r="T26" i="2"/>
  <c r="Q25" i="2"/>
  <c r="R23" i="2"/>
  <c r="X33" i="2"/>
  <c r="X29" i="2"/>
  <c r="V24" i="2"/>
  <c r="T23" i="2"/>
  <c r="T36" i="2"/>
  <c r="X34" i="2"/>
  <c r="Q24" i="2"/>
  <c r="X36" i="2"/>
  <c r="Y34" i="2"/>
  <c r="U22" i="2"/>
  <c r="Y2" i="2"/>
  <c r="W36" i="2"/>
  <c r="X2" i="2"/>
  <c r="S29" i="2"/>
  <c r="V22" i="2"/>
  <c r="P32" i="2"/>
  <c r="Y28" i="2"/>
  <c r="S32" i="2"/>
  <c r="T34" i="2"/>
  <c r="R36" i="2"/>
  <c r="S31" i="2"/>
  <c r="P30" i="2"/>
  <c r="U31" i="2"/>
  <c r="W23" i="2"/>
  <c r="Q28" i="2"/>
  <c r="S25" i="2"/>
  <c r="Q36" i="2"/>
  <c r="Q23" i="2"/>
  <c r="S28" i="2"/>
  <c r="T30" i="2"/>
  <c r="Y24" i="2"/>
  <c r="Q29" i="2"/>
  <c r="X25" i="2"/>
  <c r="W30" i="2"/>
  <c r="S2" i="2"/>
  <c r="W32" i="2"/>
  <c r="S30" i="2"/>
  <c r="U28" i="2"/>
  <c r="X30" i="2"/>
  <c r="Y23" i="2"/>
  <c r="Q31" i="2"/>
  <c r="R29" i="2"/>
  <c r="S33" i="2"/>
  <c r="V30" i="2"/>
  <c r="Y31" i="2"/>
  <c r="P23" i="2"/>
  <c r="X23" i="2"/>
  <c r="P29" i="2"/>
  <c r="W27" i="2"/>
  <c r="R27" i="2"/>
  <c r="U25" i="2"/>
  <c r="V27" i="2"/>
  <c r="Q26" i="2"/>
  <c r="P22" i="2"/>
  <c r="Q35" i="2"/>
  <c r="X22" i="2"/>
  <c r="P27" i="2"/>
  <c r="T27" i="2"/>
  <c r="R26" i="2"/>
  <c r="Y30" i="2"/>
  <c r="Y25" i="2"/>
  <c r="P35" i="2"/>
  <c r="V33" i="2"/>
  <c r="S24" i="2"/>
  <c r="T2" i="2"/>
  <c r="Q27" i="2"/>
  <c r="Y22" i="2"/>
  <c r="U35" i="2"/>
  <c r="Y35" i="2"/>
  <c r="W24" i="2"/>
  <c r="X35" i="2"/>
  <c r="V28" i="2"/>
  <c r="X27" i="2"/>
  <c r="V35" i="2"/>
  <c r="S9" i="2"/>
  <c r="P26" i="2"/>
  <c r="V2" i="2"/>
  <c r="W35" i="2"/>
  <c r="T24" i="2"/>
  <c r="AA2" i="2"/>
  <c r="R34" i="2"/>
  <c r="W28" i="2"/>
  <c r="Y26" i="2"/>
  <c r="Q33" i="2"/>
  <c r="S7" i="2"/>
  <c r="S22" i="2"/>
  <c r="S4" i="2"/>
  <c r="R30" i="2"/>
  <c r="X24" i="2"/>
  <c r="S6" i="2"/>
  <c r="W34" i="2"/>
  <c r="P36" i="2"/>
  <c r="W33" i="2"/>
  <c r="V26" i="2"/>
  <c r="R25" i="2"/>
  <c r="S10" i="2"/>
  <c r="Y27" i="2"/>
  <c r="S3" i="2"/>
  <c r="P28" i="2"/>
  <c r="W29" i="2"/>
  <c r="S35" i="2"/>
  <c r="V25" i="2"/>
  <c r="R33" i="2"/>
  <c r="V23" i="2"/>
  <c r="U32" i="2"/>
  <c r="V31" i="2"/>
  <c r="R22" i="2"/>
  <c r="S5" i="2"/>
  <c r="S27" i="2"/>
  <c r="T25" i="2"/>
  <c r="S8" i="2"/>
  <c r="R32" i="2"/>
  <c r="AB2" i="2"/>
  <c r="Z2" i="2"/>
  <c r="S36" i="2"/>
  <c r="Y36" i="2"/>
  <c r="I44" i="1" l="1"/>
  <c r="G11" i="2" s="1"/>
  <c r="O11" i="2" s="1"/>
  <c r="I38" i="1"/>
  <c r="G5" i="2" s="1"/>
  <c r="O5" i="2" s="1"/>
  <c r="F10" i="2"/>
  <c r="I35" i="1"/>
  <c r="G2" i="2" s="1"/>
  <c r="O2" i="2" s="1"/>
  <c r="M38" i="1"/>
  <c r="K5" i="2" s="1"/>
  <c r="M48" i="1"/>
  <c r="K15" i="2" s="1"/>
  <c r="L46" i="1" a="1"/>
  <c r="L46" i="1" s="1"/>
  <c r="J13" i="2" s="1"/>
  <c r="L39" i="1" a="1"/>
  <c r="L39" i="1" s="1"/>
  <c r="J6" i="2" s="1"/>
  <c r="L44" i="1" a="1"/>
  <c r="L44" i="1" s="1"/>
  <c r="J11" i="2" s="1"/>
  <c r="L37" i="1" a="1"/>
  <c r="L37" i="1" s="1"/>
  <c r="J4" i="2" s="1"/>
  <c r="I42" i="1"/>
  <c r="G9" i="2" s="1"/>
  <c r="O9" i="2" s="1"/>
  <c r="L36" i="1" a="1"/>
  <c r="L36" i="1" s="1"/>
  <c r="J3" i="2" s="1"/>
  <c r="H15" i="2"/>
  <c r="H4" i="2"/>
  <c r="H14" i="2"/>
  <c r="F7" i="2"/>
  <c r="F19" i="2" s="1"/>
  <c r="I41" i="1"/>
  <c r="G8" i="2" s="1"/>
  <c r="O8" i="2" s="1"/>
  <c r="L35" i="1" a="1"/>
  <c r="L35" i="1" s="1"/>
  <c r="J2" i="2" s="1"/>
  <c r="J26" i="2" s="1"/>
  <c r="L43" i="1" a="1"/>
  <c r="L43" i="1" s="1"/>
  <c r="J10" i="2" s="1"/>
  <c r="M39" i="1"/>
  <c r="K6" i="2" s="1"/>
  <c r="L42" i="1" a="1"/>
  <c r="L42" i="1" s="1"/>
  <c r="J9" i="2" s="1"/>
  <c r="H13" i="2"/>
  <c r="I39" i="1"/>
  <c r="G6" i="2" s="1"/>
  <c r="O6" i="2" s="1"/>
  <c r="L49" i="1" a="1"/>
  <c r="L49" i="1" s="1"/>
  <c r="J16" i="2" s="1"/>
  <c r="M49" i="1"/>
  <c r="K16" i="2" s="1"/>
  <c r="L41" i="1" a="1"/>
  <c r="L41" i="1" s="1"/>
  <c r="J8" i="2" s="1"/>
  <c r="M36" i="1"/>
  <c r="K3" i="2" s="1"/>
  <c r="L47" i="1" a="1"/>
  <c r="L47" i="1" s="1"/>
  <c r="J14" i="2" s="1"/>
  <c r="L40" i="1" a="1"/>
  <c r="L40" i="1" s="1"/>
  <c r="J7" i="2" s="1"/>
  <c r="I47" i="1"/>
  <c r="G14" i="2" s="1"/>
  <c r="O14" i="2" s="1"/>
  <c r="M45" i="1"/>
  <c r="K12" i="2" s="1"/>
  <c r="D19" i="2"/>
  <c r="C26" i="2"/>
  <c r="G26" i="2"/>
  <c r="L26" i="2"/>
  <c r="I19" i="2"/>
  <c r="K31" i="2"/>
  <c r="K33" i="2" s="1"/>
  <c r="J31" i="2"/>
  <c r="J33" i="2" s="1"/>
  <c r="I31" i="2"/>
  <c r="I33" i="2" s="1"/>
  <c r="D31" i="2"/>
  <c r="D33" i="2" s="1"/>
  <c r="L31" i="2"/>
  <c r="L33" i="2" s="1"/>
  <c r="C31" i="2"/>
  <c r="C33" i="2" s="1"/>
  <c r="H31" i="2"/>
  <c r="H33" i="2" s="1"/>
  <c r="G31" i="2"/>
  <c r="G33" i="2" s="1"/>
  <c r="F31" i="2"/>
  <c r="F33" i="2" s="1"/>
  <c r="E31" i="2"/>
  <c r="E33" i="2" s="1"/>
  <c r="N2" i="2"/>
  <c r="N19" i="2" s="1"/>
  <c r="E19" i="2" s="1"/>
  <c r="E26" i="2"/>
  <c r="P19" i="2"/>
  <c r="L19" i="2" s="1"/>
  <c r="M19" i="2"/>
  <c r="C19" i="2" s="1"/>
  <c r="E30" i="2"/>
  <c r="F30" i="2"/>
  <c r="G30" i="2"/>
  <c r="H30" i="2"/>
  <c r="I30" i="2"/>
  <c r="K30" i="2"/>
  <c r="L30" i="2"/>
  <c r="D30" i="2"/>
  <c r="C30" i="2"/>
  <c r="L27" i="2"/>
  <c r="K27" i="2"/>
  <c r="J27" i="2"/>
  <c r="J30" i="2"/>
  <c r="I27" i="2"/>
  <c r="H27" i="2"/>
  <c r="G27" i="2"/>
  <c r="F27" i="2"/>
  <c r="E27" i="2"/>
  <c r="D27" i="2"/>
  <c r="C27" i="2"/>
  <c r="X38" i="2"/>
  <c r="X40" i="2"/>
  <c r="Y38" i="2"/>
  <c r="Y40" i="2"/>
  <c r="R38" i="2"/>
  <c r="R40" i="2"/>
  <c r="S38" i="2"/>
  <c r="S40" i="2"/>
  <c r="T38" i="2"/>
  <c r="T40" i="2"/>
  <c r="U38" i="2"/>
  <c r="U40" i="2"/>
  <c r="V38" i="2"/>
  <c r="V40" i="2"/>
  <c r="W38" i="2"/>
  <c r="W40" i="2"/>
  <c r="Q38" i="2"/>
  <c r="Q40" i="2"/>
  <c r="P38" i="2"/>
  <c r="P40" i="2"/>
  <c r="H19" i="2" l="1"/>
  <c r="O19" i="2"/>
  <c r="G19" i="2" s="1"/>
  <c r="M42" i="1"/>
  <c r="K9" i="2" s="1"/>
  <c r="J19" i="2"/>
  <c r="M44" i="1"/>
  <c r="K11" i="2" s="1"/>
  <c r="M40" i="1"/>
  <c r="K7" i="2" s="1"/>
  <c r="M37" i="1"/>
  <c r="K4" i="2" s="1"/>
  <c r="M35" i="1"/>
  <c r="K2" i="2" s="1"/>
  <c r="K26" i="2" s="1"/>
  <c r="M43" i="1"/>
  <c r="K10" i="2" s="1"/>
  <c r="M46" i="1"/>
  <c r="K13" i="2" s="1"/>
  <c r="M41" i="1"/>
  <c r="K8" i="2" s="1"/>
  <c r="M47" i="1"/>
  <c r="K14" i="2" s="1"/>
  <c r="C36" i="2"/>
  <c r="J36" i="2"/>
  <c r="H36" i="2"/>
  <c r="D36" i="2"/>
  <c r="L36" i="2"/>
  <c r="K36" i="2"/>
  <c r="I36" i="2"/>
  <c r="G36" i="2"/>
  <c r="F36" i="2"/>
  <c r="E36" i="2"/>
  <c r="K28" i="2"/>
  <c r="E28" i="2"/>
  <c r="E35" i="2" s="1"/>
  <c r="F28" i="2"/>
  <c r="F35" i="2" s="1"/>
  <c r="J28" i="2"/>
  <c r="C28" i="2"/>
  <c r="C35" i="2" s="1"/>
  <c r="G28" i="2"/>
  <c r="G35" i="2" s="1"/>
  <c r="L28" i="2"/>
  <c r="L35" i="2" s="1"/>
  <c r="H28" i="2"/>
  <c r="H35" i="2" s="1"/>
  <c r="I28" i="2"/>
  <c r="I35" i="2" s="1"/>
  <c r="D28" i="2"/>
  <c r="D35" i="2" s="1"/>
  <c r="J35" i="2" l="1"/>
  <c r="K19" i="2"/>
  <c r="K35" i="2" s="1"/>
  <c r="K38" i="2" s="1"/>
  <c r="J38" i="2"/>
  <c r="D38" i="2"/>
  <c r="L38" i="2"/>
  <c r="C38" i="2"/>
  <c r="I38" i="2"/>
  <c r="H38" i="2"/>
  <c r="F38" i="2"/>
  <c r="E38" i="2"/>
  <c r="G38" i="2"/>
  <c r="C40" i="2" l="1"/>
  <c r="C43" i="2" a="1"/>
  <c r="C43" i="2" l="1"/>
  <c r="C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andi setiadi</author>
  </authors>
  <commentList>
    <comment ref="H9" authorId="0" shapeId="0" xr:uid="{7C9855AA-7D1A-4634-87F2-01476826D5DF}">
      <text/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<sst xmlns="http://schemas.openxmlformats.org/spreadsheetml/2006/main" count="145" uniqueCount="123">
  <si>
    <t>No</t>
  </si>
  <si>
    <t>Kode Tiket</t>
  </si>
  <si>
    <t>Nama Film</t>
  </si>
  <si>
    <t>Studio</t>
  </si>
  <si>
    <t>Jam Tayang</t>
  </si>
  <si>
    <t>Jenis Kursi</t>
  </si>
  <si>
    <t>Harga Tiket</t>
  </si>
  <si>
    <t>Jumlah Tiket</t>
  </si>
  <si>
    <t>Promo (%)</t>
  </si>
  <si>
    <t>Total Bayar</t>
  </si>
  <si>
    <t>Nomor Kusi</t>
  </si>
  <si>
    <t>Jalur</t>
  </si>
  <si>
    <t>Intruksi</t>
  </si>
  <si>
    <t>Soal  :</t>
  </si>
  <si>
    <r>
      <t>Gunakan Fungsi Excel (</t>
    </r>
    <r>
      <rPr>
        <i/>
        <sz val="11"/>
        <color rgb="FF0070C0"/>
        <rFont val="Aptos Narrow"/>
        <family val="2"/>
        <scheme val="minor"/>
      </rPr>
      <t>Function</t>
    </r>
    <r>
      <rPr>
        <i/>
        <sz val="11"/>
        <color theme="2" tint="-0.499984740745262"/>
        <rFont val="Aptos Narrow"/>
        <family val="2"/>
        <scheme val="minor"/>
      </rPr>
      <t>) untuk menyelsaikan kasus dibawah ini, tidak disarankan menggunakan cara manual</t>
    </r>
  </si>
  <si>
    <t>Contoh</t>
  </si>
  <si>
    <t>Durasi (Menit)</t>
  </si>
  <si>
    <t>Avengers: Endgame</t>
  </si>
  <si>
    <t>Spider-Man: No Way Home</t>
  </si>
  <si>
    <t>Avatar: The Way of Water</t>
  </si>
  <si>
    <t>The Batman</t>
  </si>
  <si>
    <t>Dune: Part Two</t>
  </si>
  <si>
    <t>Top Gun: Maverick</t>
  </si>
  <si>
    <t>Barbie</t>
  </si>
  <si>
    <t>Oppenheimer</t>
  </si>
  <si>
    <t>Inside Out 2</t>
  </si>
  <si>
    <t>Deadpool &amp; Wolverine</t>
  </si>
  <si>
    <t>Kung Fu Panda 4</t>
  </si>
  <si>
    <t xml:space="preserve">Mission: Impossible </t>
  </si>
  <si>
    <t>Doctor Strange</t>
  </si>
  <si>
    <t>Black Panther</t>
  </si>
  <si>
    <t>Guardians of the Galaxy</t>
  </si>
  <si>
    <t>The Super Mario Bros</t>
  </si>
  <si>
    <t>12:00-13:25</t>
  </si>
  <si>
    <t>14:05-16:10</t>
  </si>
  <si>
    <t>Stuktur Kode Tiket</t>
  </si>
  <si>
    <t>Bagian</t>
  </si>
  <si>
    <t>Arti</t>
  </si>
  <si>
    <t>ST</t>
  </si>
  <si>
    <t>S1</t>
  </si>
  <si>
    <t>PB</t>
  </si>
  <si>
    <t>Platform Beli</t>
  </si>
  <si>
    <t>T</t>
  </si>
  <si>
    <t>NK</t>
  </si>
  <si>
    <t>1A</t>
  </si>
  <si>
    <t>JK</t>
  </si>
  <si>
    <t>V</t>
  </si>
  <si>
    <t xml:space="preserve">Nomor Kursi </t>
  </si>
  <si>
    <t>JL</t>
  </si>
  <si>
    <t>LXXVIII</t>
  </si>
  <si>
    <t>Penjualan Tiket Bioskop LXIX</t>
  </si>
  <si>
    <r>
      <t xml:space="preserve">Isi kolom  </t>
    </r>
    <r>
      <rPr>
        <b/>
        <sz val="11"/>
        <color rgb="FF00B050"/>
        <rFont val="Aptos Narrow"/>
        <family val="2"/>
        <scheme val="minor"/>
      </rPr>
      <t>Studio</t>
    </r>
    <r>
      <rPr>
        <b/>
        <sz val="11"/>
        <color theme="6" tint="-0.249977111117893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berdasarkan kode tiket, Jika S1 maka "Studio 1" jika S2 maka "Studio 2" dst.</t>
    </r>
  </si>
  <si>
    <r>
      <t>Berapa</t>
    </r>
    <r>
      <rPr>
        <b/>
        <sz val="11"/>
        <color theme="6" tint="0.39997558519241921"/>
        <rFont val="Aptos Narrow"/>
        <family val="2"/>
        <scheme val="minor"/>
      </rPr>
      <t xml:space="preserve"> </t>
    </r>
    <r>
      <rPr>
        <b/>
        <sz val="11"/>
        <color rgb="FF00B050"/>
        <rFont val="Aptos Narrow"/>
        <family val="2"/>
        <scheme val="minor"/>
      </rPr>
      <t>Durasi (Menit)</t>
    </r>
    <r>
      <rPr>
        <sz val="11"/>
        <color theme="1"/>
        <rFont val="Aptos Narrow"/>
        <family val="2"/>
        <scheme val="minor"/>
      </rPr>
      <t xml:space="preserve"> dari Film, hitung durasi dari kolom Jam Tayang</t>
    </r>
  </si>
  <si>
    <t>A baris pertama 1A berarti nomor 1, 2B berarti urutan 2 dibaris 2 berarti Nomor kursi 12</t>
  </si>
  <si>
    <t>ST-PB-NK-JK-JL</t>
  </si>
  <si>
    <t>R</t>
  </si>
  <si>
    <t>C</t>
  </si>
  <si>
    <t>Kode Kursi</t>
  </si>
  <si>
    <t>Reguler</t>
  </si>
  <si>
    <t>Couple</t>
  </si>
  <si>
    <t>VIP</t>
  </si>
  <si>
    <t>Promo</t>
  </si>
  <si>
    <t>16:00-16:59</t>
  </si>
  <si>
    <t>S1-M-1F-V-CV</t>
  </si>
  <si>
    <t>S2-C-2B-R-LVIII</t>
  </si>
  <si>
    <t>S3-M-3A-R-LXXVIII</t>
  </si>
  <si>
    <t>S4-T-4C-R-LXXIV</t>
  </si>
  <si>
    <t>S1-C-5A-V-LXXXIX</t>
  </si>
  <si>
    <t>S2-T-5E-R-LXXXVII</t>
  </si>
  <si>
    <t>S3-M-6B-C-XCII</t>
  </si>
  <si>
    <t>S4-C-6F-V-CI</t>
  </si>
  <si>
    <t>S1-T-7C-R-LIV</t>
  </si>
  <si>
    <t>S3-C-8A-R-LXXXVII</t>
  </si>
  <si>
    <t>S2-T-7E-C-XCVI</t>
  </si>
  <si>
    <t>S3-C-8D-V-LXXXVII</t>
  </si>
  <si>
    <t>S4-M-6F-C-LI</t>
  </si>
  <si>
    <t>S2-M-2D-V-LV</t>
  </si>
  <si>
    <t>S4-T-2F-C-LXXXIV</t>
  </si>
  <si>
    <t>16:00-17:15</t>
  </si>
  <si>
    <t>14:03-15:30</t>
  </si>
  <si>
    <t>21:00-22:05</t>
  </si>
  <si>
    <t>12:07-13:17</t>
  </si>
  <si>
    <t>18:01-19:35</t>
  </si>
  <si>
    <t>21:15-22:59</t>
  </si>
  <si>
    <t>18:00-19:55</t>
  </si>
  <si>
    <t>14:00-16:15</t>
  </si>
  <si>
    <t>16:35-18:25</t>
  </si>
  <si>
    <t>12:07-14:15</t>
  </si>
  <si>
    <t>18:09-19:55</t>
  </si>
  <si>
    <t>14:10-15:55</t>
  </si>
  <si>
    <t>21:59-23:15</t>
  </si>
  <si>
    <t>S1-M-1A-R-CVII</t>
  </si>
  <si>
    <r>
      <rPr>
        <b/>
        <sz val="12"/>
        <color rgb="FF00B050"/>
        <rFont val="Aptos Narrow"/>
        <family val="2"/>
        <scheme val="minor"/>
      </rPr>
      <t>Medium Level</t>
    </r>
    <r>
      <rPr>
        <b/>
        <sz val="12"/>
        <color theme="1"/>
        <rFont val="Aptos Narrow"/>
        <family val="2"/>
        <scheme val="minor"/>
      </rPr>
      <t xml:space="preserve"> - Latihan Soal Excel Admin Tiket Bioskop LXIX</t>
    </r>
  </si>
  <si>
    <t>Studio 1</t>
  </si>
  <si>
    <t>Kanan</t>
  </si>
  <si>
    <t>M-tix</t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</si>
  <si>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Jenis Kursi</t>
    </r>
    <r>
      <rPr>
        <sz val="11"/>
        <color theme="1"/>
        <rFont val="Aptos Narrow"/>
        <family val="2"/>
        <scheme val="minor"/>
      </rPr>
      <t xml:space="preserve"> sesuai Table Jenis Kursi di Kode Tiket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</si>
  <si>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Nomor Kursi</t>
    </r>
    <r>
      <rPr>
        <sz val="11"/>
        <color theme="1"/>
        <rFont val="Aptos Narrow"/>
        <family val="2"/>
        <scheme val="minor"/>
      </rPr>
      <t xml:space="preserve"> berdasarkan Nomor kursi di kode Tiket (lihat Peta)</t>
    </r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</si>
  <si>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Jalur</t>
    </r>
    <r>
      <rPr>
        <sz val="11"/>
        <color theme="1"/>
        <rFont val="Aptos Narrow"/>
        <family val="2"/>
        <scheme val="minor"/>
      </rPr>
      <t xml:space="preserve"> dengan "Kiri" atau "Kanan" jika nomor dibawah nilai 6 berarti kanan (lihat peta)</t>
    </r>
  </si>
  <si>
    <r>
      <t xml:space="preserve">Isi kolom </t>
    </r>
    <r>
      <rPr>
        <b/>
        <sz val="11"/>
        <color rgb="FF00B050"/>
        <rFont val="Aptos Narrow"/>
        <family val="2"/>
        <scheme val="minor"/>
      </rPr>
      <t>Harga Tiket</t>
    </r>
    <r>
      <rPr>
        <sz val="11"/>
        <color theme="1"/>
        <rFont val="Aptos Narrow"/>
        <family val="2"/>
        <scheme val="minor"/>
      </rPr>
      <t xml:space="preserve"> berdasarkan Jam Tayang Pada Table Jam Tayang (</t>
    </r>
    <r>
      <rPr>
        <b/>
        <i/>
        <sz val="11"/>
        <color theme="1"/>
        <rFont val="Aptos Narrow"/>
        <family val="2"/>
        <scheme val="minor"/>
      </rPr>
      <t>hati-hati kadang telat</t>
    </r>
    <r>
      <rPr>
        <sz val="11"/>
        <color theme="1"/>
        <rFont val="Aptos Narrow"/>
        <family val="2"/>
        <scheme val="minor"/>
      </rPr>
      <t>)</t>
    </r>
  </si>
  <si>
    <r>
      <t xml:space="preserve">isi </t>
    </r>
    <r>
      <rPr>
        <b/>
        <sz val="11"/>
        <color rgb="FF00B050"/>
        <rFont val="Aptos Narrow"/>
        <family val="2"/>
        <scheme val="minor"/>
      </rPr>
      <t>Jumlah Tiket</t>
    </r>
    <r>
      <rPr>
        <sz val="11"/>
        <color theme="1"/>
        <rFont val="Aptos Narrow"/>
        <family val="2"/>
        <scheme val="minor"/>
      </rPr>
      <t xml:space="preserve"> berdasarkan kode Jumlah Tiket di kode Tiket </t>
    </r>
  </si>
  <si>
    <r>
      <t xml:space="preserve">Nilai </t>
    </r>
    <r>
      <rPr>
        <b/>
        <sz val="11"/>
        <color rgb="FF00B050"/>
        <rFont val="Aptos Narrow"/>
        <family val="2"/>
        <scheme val="minor"/>
      </rPr>
      <t>Promo</t>
    </r>
    <r>
      <rPr>
        <sz val="11"/>
        <color theme="1"/>
        <rFont val="Aptos Narrow"/>
        <family val="2"/>
        <scheme val="minor"/>
      </rPr>
      <t xml:space="preserve"> diisi sesuai dengan Jenis Kursi pada Table kode kursi</t>
    </r>
  </si>
  <si>
    <r>
      <t xml:space="preserve">Kolom </t>
    </r>
    <r>
      <rPr>
        <b/>
        <sz val="11"/>
        <color rgb="FF00B050"/>
        <rFont val="Aptos Narrow"/>
        <family val="2"/>
        <scheme val="minor"/>
      </rPr>
      <t>Total Bayar</t>
    </r>
    <r>
      <rPr>
        <sz val="11"/>
        <color theme="1"/>
        <rFont val="Aptos Narrow"/>
        <family val="2"/>
        <scheme val="minor"/>
      </rPr>
      <t xml:space="preserve"> diisi dengan </t>
    </r>
    <r>
      <rPr>
        <b/>
        <i/>
        <sz val="11"/>
        <color theme="1"/>
        <rFont val="Aptos Narrow"/>
        <family val="2"/>
        <scheme val="minor"/>
      </rPr>
      <t>Harga Tiket</t>
    </r>
    <r>
      <rPr>
        <sz val="11"/>
        <color theme="1"/>
        <rFont val="Aptos Narrow"/>
        <family val="2"/>
        <scheme val="minor"/>
      </rPr>
      <t xml:space="preserve"> dikali </t>
    </r>
    <r>
      <rPr>
        <b/>
        <i/>
        <sz val="11"/>
        <color theme="1"/>
        <rFont val="Aptos Narrow"/>
        <family val="2"/>
        <scheme val="minor"/>
      </rPr>
      <t>Jumlah Tiket</t>
    </r>
    <r>
      <rPr>
        <sz val="11"/>
        <color theme="1"/>
        <rFont val="Aptos Narrow"/>
        <family val="2"/>
        <scheme val="minor"/>
      </rPr>
      <t xml:space="preserve"> dikurangi </t>
    </r>
    <r>
      <rPr>
        <b/>
        <i/>
        <sz val="11"/>
        <color theme="1"/>
        <rFont val="Aptos Narrow"/>
        <family val="2"/>
        <scheme val="minor"/>
      </rPr>
      <t>Promo</t>
    </r>
  </si>
  <si>
    <t>Platform beli diisi dari kode Tiket. Jika M = M-tix, Jika C = CGV Apps , Jika T = Tunai</t>
  </si>
  <si>
    <t>Def</t>
  </si>
  <si>
    <t>V1</t>
  </si>
  <si>
    <t>Rnd</t>
  </si>
  <si>
    <t>Cek Kosong</t>
  </si>
  <si>
    <t>Cek Manual</t>
  </si>
  <si>
    <t>Cek Drag</t>
  </si>
  <si>
    <t>N</t>
  </si>
  <si>
    <t>Arr</t>
  </si>
  <si>
    <t>Cek Formula</t>
  </si>
  <si>
    <t>Cek Kurung</t>
  </si>
  <si>
    <t>N**</t>
  </si>
  <si>
    <t>V**</t>
  </si>
  <si>
    <t>sa</t>
  </si>
  <si>
    <t>ya</t>
  </si>
  <si>
    <t>jo</t>
  </si>
  <si>
    <t xml:space="preserve">Jumlah tiket harus ditulis dalam bentuk Number Arabic </t>
  </si>
  <si>
    <t>MN2</t>
  </si>
  <si>
    <t>Nomor Kursi</t>
  </si>
  <si>
    <t>Promo(%)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</si>
</sst>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(#,##0\);\-"/>
    <numFmt numFmtId="165" formatCode="_(* #,##0_);_(* \(#,##0\);_(* &quot;-&quot;??_);_(@_)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ROBOTECH GP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0"/>
      <name val="ROBOTECH GP"/>
      <family val="2"/>
    </font>
    <font>
      <b/>
      <sz val="12"/>
      <color theme="0"/>
      <name val="Roboto"/>
    </font>
    <font>
      <b/>
      <sz val="12"/>
      <color rgb="FF0070C0"/>
      <name val="Aptos Narrow"/>
      <family val="2"/>
      <scheme val="minor"/>
    </font>
    <font>
      <b/>
      <sz val="16"/>
      <color rgb="FF0070C0"/>
      <name val="Arial"/>
      <family val="2"/>
    </font>
    <font>
      <i/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4506668294322"/>
      </left>
      <right style="thin">
        <color theme="0"/>
      </right>
      <top style="medium">
        <color theme="8" tint="0.3999450666829432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8" tint="0.39994506668294322"/>
      </top>
      <bottom style="thin">
        <color theme="0"/>
      </bottom>
      <diagonal/>
    </border>
    <border>
      <left style="thin">
        <color theme="0"/>
      </left>
      <right style="medium">
        <color theme="8" tint="0.39994506668294322"/>
      </right>
      <top style="medium">
        <color theme="8" tint="0.39994506668294322"/>
      </top>
      <bottom style="thin">
        <color theme="0"/>
      </bottom>
      <diagonal/>
    </border>
    <border>
      <left style="medium">
        <color theme="8" tint="0.399945066682943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0.39994506668294322"/>
      </right>
      <top style="thin">
        <color theme="0"/>
      </top>
      <bottom style="thin">
        <color theme="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8" tint="0.39994506668294322"/>
      </left>
      <right style="thin">
        <color theme="0"/>
      </right>
      <top style="thin">
        <color theme="0"/>
      </top>
      <bottom style="medium">
        <color theme="8" tint="0.399914548173467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8" tint="0.39991454817346722"/>
      </bottom>
      <diagonal/>
    </border>
    <border>
      <left style="thin">
        <color theme="0"/>
      </left>
      <right style="medium">
        <color theme="8" tint="0.39994506668294322"/>
      </right>
      <top style="thin">
        <color theme="0"/>
      </top>
      <bottom style="medium">
        <color theme="8" tint="0.39991454817346722"/>
      </bottom>
      <diagonal/>
    </border>
    <border>
      <left style="thin">
        <color theme="0"/>
      </left>
      <right style="medium">
        <color theme="8" tint="0.39991454817346722"/>
      </right>
      <top style="medium">
        <color theme="8" tint="0.39994506668294322"/>
      </top>
      <bottom style="thin">
        <color theme="0"/>
      </bottom>
      <diagonal/>
    </border>
    <border>
      <left style="thin">
        <color theme="0"/>
      </left>
      <right style="medium">
        <color theme="8" tint="0.3999145481734672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8" tint="0.39991454817346722"/>
      </right>
      <top style="thin">
        <color theme="0"/>
      </top>
      <bottom style="medium">
        <color theme="8" tint="0.3999145481734672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 wrapText="1"/>
    </xf>
    <xf numFmtId="0" fontId="5" fillId="4" borderId="4" xfId="0" applyFont="1" applyFill="1" applyBorder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0" fillId="4" borderId="0" xfId="0" applyFill="1"/>
    <xf numFmtId="0" fontId="5" fillId="4" borderId="5" xfId="0" applyFont="1" applyFill="1" applyBorder="1" applyAlignment="1">
      <alignment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vertical="top"/>
    </xf>
    <xf numFmtId="0" fontId="8" fillId="4" borderId="0" xfId="0" applyFont="1" applyFill="1" applyAlignment="1">
      <alignment horizontal="right"/>
    </xf>
    <xf numFmtId="0" fontId="9" fillId="4" borderId="0" xfId="0" applyFont="1" applyFill="1"/>
    <xf numFmtId="0" fontId="11" fillId="4" borderId="0" xfId="0" applyFont="1" applyFill="1"/>
    <xf numFmtId="0" fontId="15" fillId="4" borderId="0" xfId="0" applyFont="1" applyFill="1"/>
    <xf numFmtId="0" fontId="16" fillId="2" borderId="6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5" fillId="5" borderId="7" xfId="0" applyFont="1" applyFill="1" applyBorder="1" applyAlignment="1">
      <alignment horizontal="center" vertical="top" wrapText="1"/>
    </xf>
    <xf numFmtId="0" fontId="5" fillId="5" borderId="8" xfId="0" applyFont="1" applyFill="1" applyBorder="1" applyAlignment="1">
      <alignment horizontal="center" vertical="top" wrapText="1"/>
    </xf>
    <xf numFmtId="0" fontId="0" fillId="5" borderId="9" xfId="0" applyFill="1" applyBorder="1" applyAlignment="1">
      <alignment horizontal="center"/>
    </xf>
    <xf numFmtId="0" fontId="10" fillId="4" borderId="0" xfId="0" applyFont="1" applyFill="1"/>
    <xf numFmtId="0" fontId="5" fillId="0" borderId="0" xfId="0" applyFont="1" applyAlignment="1">
      <alignment vertical="top" wrapText="1"/>
    </xf>
    <xf numFmtId="164" fontId="17" fillId="3" borderId="12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0" fillId="8" borderId="10" xfId="0" applyFill="1" applyBorder="1"/>
    <xf numFmtId="0" fontId="0" fillId="9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8" borderId="10" xfId="0" applyFill="1" applyBorder="1" applyAlignment="1">
      <alignment horizontal="center"/>
    </xf>
    <xf numFmtId="0" fontId="0" fillId="10" borderId="10" xfId="0" applyFill="1" applyBorder="1"/>
    <xf numFmtId="0" fontId="18" fillId="4" borderId="0" xfId="0" applyFont="1" applyFill="1" applyAlignment="1">
      <alignment vertical="top"/>
    </xf>
    <xf numFmtId="0" fontId="2" fillId="11" borderId="14" xfId="0" applyFont="1" applyFill="1" applyBorder="1" applyAlignment="1">
      <alignment horizontal="center" vertical="center" wrapText="1"/>
    </xf>
    <xf numFmtId="0" fontId="0" fillId="12" borderId="14" xfId="0" applyFill="1" applyBorder="1" applyAlignment="1">
      <alignment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0" fillId="12" borderId="16" xfId="0" applyFill="1" applyBorder="1" applyAlignment="1">
      <alignment vertical="center" wrapText="1"/>
    </xf>
    <xf numFmtId="0" fontId="5" fillId="4" borderId="15" xfId="0" applyFont="1" applyFill="1" applyBorder="1" applyAlignment="1">
      <alignment vertical="top" wrapText="1"/>
    </xf>
    <xf numFmtId="0" fontId="0" fillId="10" borderId="10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20" fillId="4" borderId="0" xfId="0" applyFont="1" applyFill="1"/>
    <xf numFmtId="165" fontId="0" fillId="6" borderId="10" xfId="1" applyNumberFormat="1" applyFont="1" applyFill="1" applyBorder="1" applyAlignment="1">
      <alignment horizontal="center"/>
    </xf>
    <xf numFmtId="165" fontId="5" fillId="6" borderId="10" xfId="1" applyNumberFormat="1" applyFont="1" applyFill="1" applyBorder="1" applyAlignment="1">
      <alignment horizontal="center" vertical="top" wrapText="1"/>
    </xf>
    <xf numFmtId="165" fontId="5" fillId="6" borderId="11" xfId="1" applyNumberFormat="1" applyFont="1" applyFill="1" applyBorder="1" applyAlignment="1">
      <alignment horizontal="center" vertical="top" wrapText="1"/>
    </xf>
    <xf numFmtId="0" fontId="3" fillId="4" borderId="0" xfId="0" applyFont="1" applyFill="1"/>
    <xf numFmtId="0" fontId="0" fillId="5" borderId="17" xfId="0" applyFill="1" applyBorder="1" applyAlignment="1">
      <alignment horizontal="center"/>
    </xf>
    <xf numFmtId="9" fontId="0" fillId="6" borderId="18" xfId="2" applyFont="1" applyFill="1" applyBorder="1" applyAlignment="1">
      <alignment horizontal="center"/>
    </xf>
    <xf numFmtId="9" fontId="5" fillId="6" borderId="18" xfId="2" applyFont="1" applyFill="1" applyBorder="1" applyAlignment="1">
      <alignment horizontal="center" vertical="top" wrapText="1"/>
    </xf>
    <xf numFmtId="9" fontId="5" fillId="6" borderId="19" xfId="2" applyFont="1" applyFill="1" applyBorder="1" applyAlignment="1">
      <alignment horizontal="center" vertical="top" wrapText="1"/>
    </xf>
    <xf numFmtId="20" fontId="0" fillId="5" borderId="9" xfId="0" applyNumberFormat="1" applyFill="1" applyBorder="1" applyAlignment="1">
      <alignment horizontal="center"/>
    </xf>
    <xf numFmtId="20" fontId="0" fillId="5" borderId="17" xfId="0" applyNumberFormat="1" applyFill="1" applyBorder="1" applyAlignment="1">
      <alignment horizontal="center"/>
    </xf>
    <xf numFmtId="0" fontId="16" fillId="2" borderId="20" xfId="0" applyFont="1" applyFill="1" applyBorder="1" applyAlignment="1">
      <alignment horizontal="center" vertical="center"/>
    </xf>
    <xf numFmtId="165" fontId="0" fillId="6" borderId="21" xfId="1" applyNumberFormat="1" applyFont="1" applyFill="1" applyBorder="1" applyAlignment="1">
      <alignment horizontal="center"/>
    </xf>
    <xf numFmtId="165" fontId="0" fillId="6" borderId="22" xfId="1" applyNumberFormat="1" applyFont="1" applyFill="1" applyBorder="1" applyAlignment="1">
      <alignment horizontal="center"/>
    </xf>
    <xf numFmtId="0" fontId="0" fillId="8" borderId="10" xfId="0" applyFill="1" applyBorder="1" applyAlignment="1">
      <alignment horizontal="left" vertical="center" wrapText="1" indent="2"/>
    </xf>
    <xf numFmtId="0" fontId="0" fillId="9" borderId="13" xfId="0" applyFill="1" applyBorder="1" applyAlignment="1">
      <alignment horizontal="left" vertical="center" wrapText="1" indent="2"/>
    </xf>
    <xf numFmtId="0" fontId="0" fillId="10" borderId="10" xfId="0" applyFill="1" applyBorder="1" applyAlignment="1">
      <alignment horizontal="left" indent="1"/>
    </xf>
    <xf numFmtId="0" fontId="0" fillId="9" borderId="13" xfId="0" applyFill="1" applyBorder="1" applyAlignment="1">
      <alignment horizontal="left" indent="1"/>
    </xf>
    <xf numFmtId="9" fontId="0" fillId="10" borderId="10" xfId="2" applyFont="1" applyFill="1" applyBorder="1" applyAlignment="1">
      <alignment horizontal="center"/>
    </xf>
    <xf numFmtId="165" fontId="0" fillId="10" borderId="10" xfId="1" applyNumberFormat="1" applyFont="1" applyFill="1" applyBorder="1"/>
    <xf numFmtId="165" fontId="0" fillId="10" borderId="10" xfId="0" applyNumberFormat="1" applyFill="1" applyBorder="1"/>
    <xf numFmtId="165" fontId="0" fillId="0" borderId="0" xfId="0" applyNumberFormat="1"/>
    <xf numFmtId="0" fontId="15" fillId="8" borderId="10" xfId="0" applyFont="1" applyFill="1" applyBorder="1" applyAlignment="1">
      <alignment horizontal="center" vertical="center" wrapText="1"/>
    </xf>
    <xf numFmtId="0" fontId="0" fillId="10" borderId="10" xfId="0" applyFill="1" applyBorder="1" applyAlignment="1">
      <alignment horizontal="left" indent="2"/>
    </xf>
    <xf numFmtId="0" fontId="0" fillId="9" borderId="13" xfId="0" applyFill="1" applyBorder="1" applyAlignment="1">
      <alignment horizontal="left" indent="2"/>
    </xf>
    <xf numFmtId="0" fontId="1" fillId="0" borderId="0" xfId="3"/>
    <xf numFmtId="0" fontId="0" fillId="8" borderId="23" xfId="0" applyFill="1" applyBorder="1" applyAlignment="1">
      <alignment horizontal="center" vertical="center" wrapText="1"/>
    </xf>
    <xf numFmtId="0" fontId="0" fillId="10" borderId="24" xfId="0" applyFill="1" applyBorder="1"/>
    <xf numFmtId="0" fontId="0" fillId="8" borderId="28" xfId="0" applyFill="1" applyBorder="1" applyAlignment="1">
      <alignment horizontal="center" vertical="center" wrapText="1"/>
    </xf>
    <xf numFmtId="0" fontId="0" fillId="8" borderId="29" xfId="0" applyFill="1" applyBorder="1" applyAlignment="1">
      <alignment horizontal="left" vertical="center" wrapText="1" indent="2"/>
    </xf>
    <xf numFmtId="0" fontId="0" fillId="8" borderId="29" xfId="0" applyFill="1" applyBorder="1"/>
    <xf numFmtId="0" fontId="0" fillId="10" borderId="29" xfId="0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0" fillId="10" borderId="29" xfId="0" applyFill="1" applyBorder="1" applyAlignment="1">
      <alignment horizontal="left" indent="1"/>
    </xf>
    <xf numFmtId="0" fontId="0" fillId="10" borderId="29" xfId="0" applyFill="1" applyBorder="1" applyAlignment="1">
      <alignment horizontal="left" indent="2"/>
    </xf>
    <xf numFmtId="165" fontId="0" fillId="10" borderId="29" xfId="1" applyNumberFormat="1" applyFont="1" applyFill="1" applyBorder="1"/>
    <xf numFmtId="9" fontId="0" fillId="10" borderId="29" xfId="2" applyFont="1" applyFill="1" applyBorder="1" applyAlignment="1">
      <alignment horizontal="center"/>
    </xf>
    <xf numFmtId="165" fontId="0" fillId="10" borderId="29" xfId="0" applyNumberFormat="1" applyFill="1" applyBorder="1"/>
    <xf numFmtId="0" fontId="0" fillId="10" borderId="30" xfId="0" applyFill="1" applyBorder="1"/>
    <xf numFmtId="0" fontId="24" fillId="8" borderId="25" xfId="0" applyFont="1" applyFill="1" applyBorder="1" applyAlignment="1">
      <alignment horizontal="center" vertical="center" wrapText="1"/>
    </xf>
    <xf numFmtId="0" fontId="24" fillId="8" borderId="26" xfId="0" applyFont="1" applyFill="1" applyBorder="1" applyAlignment="1">
      <alignment horizontal="left" vertical="center" wrapText="1" indent="2"/>
    </xf>
    <xf numFmtId="0" fontId="24" fillId="8" borderId="26" xfId="0" applyFont="1" applyFill="1" applyBorder="1"/>
    <xf numFmtId="0" fontId="24" fillId="10" borderId="26" xfId="0" applyFont="1" applyFill="1" applyBorder="1" applyAlignment="1">
      <alignment horizontal="center"/>
    </xf>
    <xf numFmtId="0" fontId="24" fillId="8" borderId="26" xfId="0" applyFont="1" applyFill="1" applyBorder="1" applyAlignment="1">
      <alignment horizontal="center"/>
    </xf>
    <xf numFmtId="0" fontId="24" fillId="10" borderId="26" xfId="0" applyFont="1" applyFill="1" applyBorder="1" applyAlignment="1">
      <alignment horizontal="left" indent="1"/>
    </xf>
    <xf numFmtId="0" fontId="24" fillId="10" borderId="26" xfId="0" applyFont="1" applyFill="1" applyBorder="1" applyAlignment="1">
      <alignment horizontal="left" indent="2"/>
    </xf>
    <xf numFmtId="165" fontId="24" fillId="10" borderId="26" xfId="1" applyNumberFormat="1" applyFont="1" applyFill="1" applyBorder="1"/>
    <xf numFmtId="9" fontId="24" fillId="10" borderId="26" xfId="2" applyFont="1" applyFill="1" applyBorder="1" applyAlignment="1">
      <alignment horizontal="center"/>
    </xf>
    <xf numFmtId="165" fontId="24" fillId="10" borderId="26" xfId="0" applyNumberFormat="1" applyFont="1" applyFill="1" applyBorder="1"/>
    <xf numFmtId="0" fontId="24" fillId="10" borderId="27" xfId="0" applyFont="1" applyFill="1" applyBorder="1"/>
    <xf numFmtId="0" fontId="19" fillId="8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5">
    <cellStyle name="Comma" xfId="1" builtinId="3"/>
    <cellStyle name="Hyperlink 2" xfId="4" xr:uid="{992BF5AC-C8ED-497E-BC39-8F2108F5D2DC}"/>
    <cellStyle name="Normal" xfId="0" builtinId="0"/>
    <cellStyle name="Normal 2" xfId="3" xr:uid="{DDECCC3A-FCBF-4B6C-A0A6-BBFCBCC661EC}"/>
    <cellStyle name="Percent" xfId="2" builtinId="5"/>
  </cellStyles>
  <dxfs count="18"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65" formatCode="_(* #,##0_);_(* \(#,##0\);_(* &quot;-&quot;??_);_(@_)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  <fill>
        <patternFill patternType="solid">
          <fgColor indexed="64"/>
          <bgColor theme="9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2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left" vertical="center" textRotation="0" wrapText="1" indent="2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2CD8F5-0EFD-4D48-B77E-37A134EA6849}" name="Bioskop" displayName="Bioskop" ref="A34:N49" totalsRowShown="0" headerRowDxfId="17" headerRowBorderDxfId="16" tableBorderDxfId="15" totalsRowBorderDxfId="14">
  <autoFilter ref="A34:N49" xr:uid="{832CD8F5-0EFD-4D48-B77E-37A134EA6849}"/>
  <tableColumns count="14">
    <tableColumn id="1" xr3:uid="{CABBFA3F-263C-41E1-8AE4-91218DB7107D}" name="No" dataDxfId="13"/>
    <tableColumn id="2" xr3:uid="{C3E6DE94-3AE1-41C7-96B2-340D1AF516B7}" name="Kode Tiket" dataDxfId="12"/>
    <tableColumn id="3" xr3:uid="{F1F8527C-A84C-4805-86DA-8AF589A75A48}" name="Nama Film" dataDxfId="11"/>
    <tableColumn id="4" xr3:uid="{78520571-9E3F-4896-A267-75442BD08029}" name="Studio" dataDxfId="10">
      <calculatedColumnFormula>IF(LEFT(B35,2)="S1","Studio 1",
 IF(LEFT(B35,2)="S2","Studio 2",
 IF(LEFT(B35,2)="S3","Studio 3",
 IF(LEFT(B35,2)="S4","Studio 4",""))))</calculatedColumnFormula>
    </tableColumn>
    <tableColumn id="5" xr3:uid="{33A83653-FA27-456D-9F21-97412BB73F62}" name="Jam Tayang" dataDxfId="9"/>
    <tableColumn id="6" xr3:uid="{FC68CAF0-0397-4D9D-A539-3E732A784C56}" name="Durasi (Menit)" dataDxfId="8">
      <calculatedColumnFormula>(TIMEVALUE(MID(E35,FIND("-",E35)+1,5)) - TIMEVALUE(LEFT(E35,5)))*1440</calculatedColumnFormula>
    </tableColumn>
    <tableColumn id="7" xr3:uid="{07B532A5-D27D-43DB-8F91-21916078C28E}" name="Jenis Kursi" dataDxfId="7">
      <calculatedColumnFormula>IF(MID(B35,FIND("-",B35,FIND("-",B35,4)+1)+1,1)="R","Reguler",
IF(MID(B35,FIND("-",B35,FIND("-",B35,4)+1)+1,1)="C","Couple",
IF(MID(B35,FIND("-",B35,FIND("-",B35,4)+1)+1,1)="V","VIP","")))</calculatedColumnFormula>
    </tableColumn>
    <tableColumn id="8" xr3:uid="{74E6FF32-1148-450A-9EAF-B929652D2F17}" name="Nomor Kursi" dataDxfId="6">
      <calculatedColumnFormula>VALUE(LEFT(_xlfn.TEXTBEFORE(_xlfn.TEXTAFTER(B35,"-",2),"-"),LEN(_xlfn.TEXTBEFORE(_xlfn.TEXTAFTER(B35,"-",2),"-"))-1))</calculatedColumnFormula>
    </tableColumn>
    <tableColumn id="9" xr3:uid="{55D5615C-E28F-4768-A722-1F78DD861BBE}" name="Jalur" dataDxfId="5">
      <calculatedColumnFormula>IF(H35&lt;=5,"Kanan","Kiri")</calculatedColumnFormula>
    </tableColumn>
    <tableColumn id="10" xr3:uid="{27B7A032-1CE5-41DC-997A-D18DF453CE90}" name="Harga Tiket" dataDxfId="4" dataCellStyle="Comma">
      <calculatedColumnFormula>VLOOKUP(TIMEVALUE(LEFT(E35,5)),$J$14:$K$19,2,TRUE)</calculatedColumnFormula>
    </tableColumn>
    <tableColumn id="11" xr3:uid="{EECBAF6B-032B-44E5-A81A-B6856A40F5BB}" name="Jumlah Tiket" dataDxfId="3">
      <calculatedColumnFormula>_xlfn.LET(
_xlpm.r,_xlfn.TEXTAFTER(B35,"-",4),
_xlpm.s,SUBSTITUTE(SUBSTITUTE(SUBSTITUTE(SUBSTITUTE(SUBSTITUTE(SUBSTITUTE(SUBSTITUTE(_xlpm.r,"CM","DCCCC"),"CD","CCCC"),"XC","LXXXX"),"XL","XXXX"),"IX","VIIII"),"IV","IIII"),"M","DD"),
LEN(_xlpm.s)-LEN(SUBSTITUTE(_xlpm.s,"I",""))+
5*(LEN(_xlpm.s)-LEN(SUBSTITUTE(_xlpm.s,"V","")))+
10*(LEN(_xlpm.s)-LEN(SUBSTITUTE(_xlpm.s,"X","")))+
50*(LEN(_xlpm.s)-LEN(SUBSTITUTE(_xlpm.s,"L","")))+
100*(LEN(_xlpm.s)-LEN(SUBSTITUTE(_xlpm.s,"C","")))+
500*(LEN(_xlpm.s)-LEN(SUBSTITUTE(_xlpm.s,"D","")))
)</calculatedColumnFormula>
    </tableColumn>
    <tableColumn id="12" xr3:uid="{1A578843-C48A-49DB-BB78-23615AC13DD6}" name="Promo(%)" dataDxfId="2" dataCellStyle="Percent">
      <calculatedColumnFormula array="1">_xlfn.IFS(
G35="Reguler",0.02,
G35="Couple",0.08,
G35="VIP",0.12,
TRUE,0
)</calculatedColumnFormula>
    </tableColumn>
    <tableColumn id="13" xr3:uid="{83810077-437C-4ADB-B49E-8CED5E3D044A}" name="Total Bayar" dataDxfId="1">
      <calculatedColumnFormula>J35*K35-(J35*K35*L35)</calculatedColumnFormula>
    </tableColumn>
    <tableColumn id="14" xr3:uid="{62AA4520-6D6D-484F-8014-A4FE961E9B91}" name="Platform Beli" dataDxfId="0">
      <calculatedColumnFormula>IF(MID(B35,4,1)="M","M-tix",
 IF(MID(B35,4,1)="C","CGV Apps",
 IF(MID(B35,4,1)="T","Tunai","")))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61E6-34C3-4952-8588-60A36CC28860}">
  <sheetPr codeName="Sheet1"/>
  <dimension ref="A1:R53"/>
  <sheetViews>
    <sheetView tabSelected="1" topLeftCell="A23" zoomScale="90" zoomScaleNormal="90" workbookViewId="0">
      <selection activeCell="I52" sqref="I52"/>
    </sheetView>
  </sheetViews>
  <sheetFormatPr defaultRowHeight="14.4"/>
  <cols>
    <col min="1" max="1" width="11.109375" customWidth="1"/>
    <col min="2" max="2" width="19.109375" customWidth="1"/>
    <col min="3" max="3" width="24" customWidth="1"/>
    <col min="4" max="4" width="16.5546875" customWidth="1"/>
    <col min="5" max="5" width="15.5546875" customWidth="1"/>
    <col min="6" max="6" width="18.109375" bestFit="1" customWidth="1"/>
    <col min="7" max="8" width="15.77734375" customWidth="1"/>
    <col min="9" max="9" width="18.6640625" customWidth="1"/>
    <col min="10" max="10" width="15.109375" customWidth="1"/>
    <col min="11" max="11" width="17.21875" customWidth="1"/>
    <col min="12" max="12" width="15.21875" customWidth="1"/>
    <col min="13" max="14" width="16.6640625" customWidth="1"/>
    <col min="16" max="16" width="10.21875" bestFit="1" customWidth="1"/>
    <col min="18" max="18" width="10.21875" bestFit="1" customWidth="1"/>
  </cols>
  <sheetData>
    <row r="1" spans="1:13" ht="22.8">
      <c r="A1" s="86" t="s">
        <v>12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8"/>
    </row>
    <row r="2" spans="1:13" ht="15.6">
      <c r="A2" s="2"/>
      <c r="B2" s="3"/>
      <c r="C2" s="3"/>
      <c r="D2" s="3"/>
      <c r="E2" s="3"/>
      <c r="F2" s="3"/>
      <c r="G2" s="3"/>
      <c r="H2" s="3"/>
      <c r="I2" s="3"/>
      <c r="J2" s="3"/>
      <c r="K2" s="4"/>
      <c r="L2" s="3"/>
      <c r="M2" s="32"/>
    </row>
    <row r="3" spans="1:13" ht="15.6">
      <c r="A3" s="4"/>
      <c r="B3" s="6" t="s">
        <v>92</v>
      </c>
      <c r="D3" s="4"/>
      <c r="E3" s="3"/>
      <c r="F3" s="3"/>
      <c r="G3" s="3"/>
      <c r="H3" s="3"/>
      <c r="J3" s="27" t="s">
        <v>35</v>
      </c>
      <c r="K3" s="4"/>
      <c r="L3" s="3"/>
      <c r="M3" s="5"/>
    </row>
    <row r="4" spans="1:13" ht="15.6">
      <c r="A4" s="4"/>
      <c r="B4" s="4"/>
      <c r="C4" s="7"/>
      <c r="E4" s="3"/>
      <c r="F4" s="3"/>
      <c r="G4" s="3"/>
      <c r="H4" s="3"/>
      <c r="I4" s="4"/>
      <c r="J4" t="s">
        <v>54</v>
      </c>
      <c r="K4" s="4"/>
      <c r="L4" s="3"/>
      <c r="M4" s="5"/>
    </row>
    <row r="5" spans="1:13" ht="15.6">
      <c r="A5" s="4"/>
      <c r="B5" s="8" t="s">
        <v>13</v>
      </c>
      <c r="C5" s="9" t="s">
        <v>14</v>
      </c>
      <c r="D5" s="4"/>
      <c r="E5" s="4"/>
      <c r="F5" s="3"/>
      <c r="G5" s="4"/>
      <c r="H5" s="4"/>
      <c r="J5" s="3"/>
      <c r="K5" s="4"/>
      <c r="L5" s="3"/>
      <c r="M5" s="5"/>
    </row>
    <row r="6" spans="1:13" ht="15.6">
      <c r="A6" s="4"/>
      <c r="B6" s="10">
        <v>1</v>
      </c>
      <c r="C6" s="4" t="s">
        <v>51</v>
      </c>
      <c r="D6" s="4"/>
      <c r="E6" s="4"/>
      <c r="F6" s="3"/>
      <c r="G6" s="4"/>
      <c r="H6" s="35"/>
      <c r="I6" s="3"/>
      <c r="J6" s="28" t="s">
        <v>36</v>
      </c>
      <c r="K6" s="28" t="s">
        <v>37</v>
      </c>
      <c r="L6" s="30" t="s">
        <v>15</v>
      </c>
      <c r="M6" s="5"/>
    </row>
    <row r="7" spans="1:13" ht="15.6">
      <c r="A7" s="4"/>
      <c r="B7" s="10">
        <v>2</v>
      </c>
      <c r="C7" s="4" t="s">
        <v>52</v>
      </c>
      <c r="D7" s="4"/>
      <c r="E7" s="4"/>
      <c r="F7" s="3"/>
      <c r="G7" s="4"/>
      <c r="H7" s="35"/>
      <c r="I7" s="3"/>
      <c r="J7" s="29" t="s">
        <v>38</v>
      </c>
      <c r="K7" s="29" t="s">
        <v>3</v>
      </c>
      <c r="L7" s="31" t="s">
        <v>39</v>
      </c>
      <c r="M7" s="5"/>
    </row>
    <row r="8" spans="1:13" ht="15.6">
      <c r="A8" s="4"/>
      <c r="B8" s="10">
        <v>3</v>
      </c>
      <c r="C8" s="4" t="s">
        <v>96</v>
      </c>
      <c r="D8" s="4"/>
      <c r="E8" s="4"/>
      <c r="F8" s="3"/>
      <c r="G8" s="4"/>
      <c r="H8" s="4"/>
      <c r="I8" s="3"/>
      <c r="J8" s="29" t="s">
        <v>40</v>
      </c>
      <c r="K8" s="29" t="s">
        <v>41</v>
      </c>
      <c r="L8" s="31" t="s">
        <v>42</v>
      </c>
      <c r="M8" s="5"/>
    </row>
    <row r="9" spans="1:13" ht="15.6">
      <c r="A9" s="4"/>
      <c r="B9" s="10">
        <v>4</v>
      </c>
      <c r="C9" s="4" t="s">
        <v>97</v>
      </c>
      <c r="D9" s="4"/>
      <c r="E9" s="4"/>
      <c r="F9" s="3"/>
      <c r="G9" s="4"/>
      <c r="H9" s="4"/>
      <c r="I9" s="3"/>
      <c r="J9" s="29" t="s">
        <v>43</v>
      </c>
      <c r="K9" s="29" t="s">
        <v>47</v>
      </c>
      <c r="L9" s="31" t="s">
        <v>44</v>
      </c>
      <c r="M9" s="5"/>
    </row>
    <row r="10" spans="1:13" ht="15.6">
      <c r="A10" s="4"/>
      <c r="B10" s="10"/>
      <c r="C10" s="9" t="s">
        <v>53</v>
      </c>
      <c r="D10" s="4"/>
      <c r="E10" s="4"/>
      <c r="F10" s="3"/>
      <c r="G10" s="4"/>
      <c r="H10" s="35"/>
      <c r="I10" s="3"/>
      <c r="J10" s="29" t="s">
        <v>45</v>
      </c>
      <c r="K10" s="29" t="s">
        <v>5</v>
      </c>
      <c r="L10" s="31" t="s">
        <v>46</v>
      </c>
      <c r="M10" s="5"/>
    </row>
    <row r="11" spans="1:13" ht="15.6">
      <c r="A11" s="4"/>
      <c r="B11" s="10">
        <v>5</v>
      </c>
      <c r="C11" s="4" t="s">
        <v>98</v>
      </c>
      <c r="D11" s="4"/>
      <c r="E11" s="4"/>
      <c r="F11" s="3"/>
      <c r="G11" s="4"/>
      <c r="H11" s="4"/>
      <c r="I11" s="3"/>
      <c r="J11" s="29" t="s">
        <v>48</v>
      </c>
      <c r="K11" s="29" t="s">
        <v>7</v>
      </c>
      <c r="L11" s="31" t="s">
        <v>49</v>
      </c>
      <c r="M11" s="5"/>
    </row>
    <row r="12" spans="1:13" ht="15.6">
      <c r="A12" s="4"/>
      <c r="B12" s="10">
        <v>6</v>
      </c>
      <c r="C12" s="4" t="s">
        <v>99</v>
      </c>
      <c r="D12" s="4"/>
      <c r="E12" s="4"/>
      <c r="F12" s="3"/>
      <c r="G12" s="4"/>
      <c r="H12" s="35"/>
      <c r="I12" s="3"/>
      <c r="J12" s="3"/>
      <c r="K12" s="3"/>
      <c r="L12" s="3"/>
      <c r="M12" s="5"/>
    </row>
    <row r="13" spans="1:13" ht="16.2" thickBot="1">
      <c r="A13" s="4"/>
      <c r="B13" s="10">
        <v>7</v>
      </c>
      <c r="C13" s="4" t="s">
        <v>100</v>
      </c>
      <c r="D13" s="4"/>
      <c r="E13" s="4"/>
      <c r="F13" s="3"/>
      <c r="G13" s="4"/>
      <c r="H13" s="4"/>
      <c r="I13" s="3"/>
      <c r="J13" s="3"/>
      <c r="K13" s="4"/>
      <c r="L13" s="3"/>
      <c r="M13" s="5"/>
    </row>
    <row r="14" spans="1:13" ht="15.6">
      <c r="A14" s="4"/>
      <c r="B14" s="10"/>
      <c r="C14" s="9" t="s">
        <v>119</v>
      </c>
      <c r="D14" s="4"/>
      <c r="E14" s="4"/>
      <c r="F14" s="3"/>
      <c r="G14" s="4"/>
      <c r="H14" s="35"/>
      <c r="I14" s="3"/>
      <c r="J14" s="12" t="s">
        <v>4</v>
      </c>
      <c r="K14" s="46" t="s">
        <v>6</v>
      </c>
      <c r="L14" s="3"/>
      <c r="M14" s="5"/>
    </row>
    <row r="15" spans="1:13" ht="15.6">
      <c r="A15" s="4"/>
      <c r="B15" s="10">
        <v>8</v>
      </c>
      <c r="C15" s="4" t="s">
        <v>101</v>
      </c>
      <c r="D15" s="4"/>
      <c r="E15" s="4"/>
      <c r="F15" s="3"/>
      <c r="G15" s="4"/>
      <c r="H15" s="4"/>
      <c r="I15" s="3"/>
      <c r="J15" s="44">
        <v>0.5</v>
      </c>
      <c r="K15" s="47">
        <v>35000</v>
      </c>
      <c r="L15" s="3"/>
      <c r="M15" s="5"/>
    </row>
    <row r="16" spans="1:13" ht="15.6">
      <c r="A16" s="4"/>
      <c r="B16" s="10">
        <v>9</v>
      </c>
      <c r="C16" s="4" t="s">
        <v>102</v>
      </c>
      <c r="D16" s="4"/>
      <c r="E16" s="4"/>
      <c r="F16" s="3"/>
      <c r="G16" s="4"/>
      <c r="H16" s="4"/>
      <c r="I16" s="3"/>
      <c r="J16" s="44">
        <v>0.58333333333333337</v>
      </c>
      <c r="K16" s="47">
        <v>37000</v>
      </c>
      <c r="L16" s="3"/>
      <c r="M16" s="5"/>
    </row>
    <row r="17" spans="1:18" ht="15.6">
      <c r="A17" s="4"/>
      <c r="B17" s="10">
        <v>10</v>
      </c>
      <c r="C17" s="4" t="s">
        <v>103</v>
      </c>
      <c r="D17" s="4"/>
      <c r="E17" s="4"/>
      <c r="F17" s="3"/>
      <c r="G17" s="4"/>
      <c r="H17" s="4"/>
      <c r="I17" s="3"/>
      <c r="J17" s="44">
        <v>0.66666666666666663</v>
      </c>
      <c r="K17" s="47">
        <v>34000</v>
      </c>
      <c r="L17" s="3"/>
      <c r="M17" s="5"/>
    </row>
    <row r="18" spans="1:18" ht="16.2" thickBot="1">
      <c r="A18" s="4"/>
      <c r="B18" s="11"/>
      <c r="C18" s="39"/>
      <c r="D18" s="39"/>
      <c r="E18" s="39"/>
      <c r="F18" s="39"/>
      <c r="G18" s="4"/>
      <c r="H18" s="4"/>
      <c r="I18" s="3"/>
      <c r="J18" s="44">
        <v>0.75</v>
      </c>
      <c r="K18" s="47">
        <v>45000</v>
      </c>
      <c r="L18" s="3"/>
      <c r="M18" s="5"/>
    </row>
    <row r="19" spans="1:18" ht="16.2" thickBot="1">
      <c r="A19" s="4"/>
      <c r="B19" s="4"/>
      <c r="C19" s="12" t="s">
        <v>57</v>
      </c>
      <c r="D19" s="13" t="s">
        <v>55</v>
      </c>
      <c r="E19" s="14" t="s">
        <v>56</v>
      </c>
      <c r="F19" s="15" t="s">
        <v>46</v>
      </c>
      <c r="G19" s="3"/>
      <c r="H19" s="3"/>
      <c r="I19" s="3"/>
      <c r="J19" s="45">
        <v>0.875</v>
      </c>
      <c r="K19" s="48">
        <v>55000</v>
      </c>
      <c r="L19" s="3"/>
      <c r="M19" s="5"/>
    </row>
    <row r="20" spans="1:18" ht="15.6">
      <c r="A20" s="4"/>
      <c r="B20" s="4"/>
      <c r="C20" s="16" t="s">
        <v>5</v>
      </c>
      <c r="D20" s="36" t="s">
        <v>58</v>
      </c>
      <c r="E20" s="37" t="s">
        <v>59</v>
      </c>
      <c r="F20" s="38" t="s">
        <v>60</v>
      </c>
      <c r="G20" s="4"/>
      <c r="H20" s="3"/>
      <c r="I20" s="3"/>
      <c r="L20" s="3"/>
      <c r="M20" s="5"/>
    </row>
    <row r="21" spans="1:18" ht="16.2" thickBot="1">
      <c r="A21" s="4"/>
      <c r="B21" s="4"/>
      <c r="C21" s="40" t="s">
        <v>61</v>
      </c>
      <c r="D21" s="41">
        <v>0.02</v>
      </c>
      <c r="E21" s="42">
        <v>0.08</v>
      </c>
      <c r="F21" s="43">
        <v>0.12</v>
      </c>
      <c r="G21" s="4"/>
      <c r="H21" s="4"/>
      <c r="I21" s="3"/>
      <c r="J21" s="3"/>
      <c r="K21" s="4"/>
      <c r="L21" s="3"/>
      <c r="M21" s="5"/>
    </row>
    <row r="22" spans="1:18" ht="15.6">
      <c r="A22" s="4"/>
      <c r="B22" s="4"/>
      <c r="C22" s="4"/>
      <c r="D22" s="4"/>
      <c r="E22" s="4"/>
      <c r="F22" s="4"/>
      <c r="G22" s="4"/>
      <c r="H22" s="4"/>
      <c r="I22" s="3"/>
      <c r="J22" s="3"/>
      <c r="K22" s="4"/>
      <c r="L22" s="3"/>
      <c r="M22" s="5"/>
    </row>
    <row r="23" spans="1:18" ht="15.6">
      <c r="A23" s="4"/>
      <c r="B23" s="4"/>
      <c r="C23" s="17"/>
      <c r="D23" s="3"/>
      <c r="E23" s="3"/>
      <c r="F23" s="3"/>
      <c r="G23" s="4"/>
      <c r="H23" s="4"/>
      <c r="I23" s="3"/>
      <c r="J23" s="3"/>
      <c r="K23" s="4"/>
      <c r="L23" s="3"/>
      <c r="M23" s="5"/>
    </row>
    <row r="24" spans="1:18" ht="22.8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1"/>
    </row>
    <row r="25" spans="1:18" ht="15.6">
      <c r="A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8" ht="21">
      <c r="A26" s="18"/>
      <c r="B26" s="85" t="s">
        <v>50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</row>
    <row r="29" spans="1:18" ht="15" thickBot="1"/>
    <row r="30" spans="1:18" ht="15.6">
      <c r="D30" s="19">
        <v>1</v>
      </c>
      <c r="F30" s="19">
        <v>2</v>
      </c>
      <c r="G30" s="19">
        <v>3</v>
      </c>
      <c r="H30" s="19">
        <v>4</v>
      </c>
      <c r="I30" s="19">
        <v>5</v>
      </c>
      <c r="J30" s="19">
        <v>6</v>
      </c>
      <c r="K30" s="19">
        <v>7</v>
      </c>
      <c r="L30" s="19">
        <v>8</v>
      </c>
      <c r="M30" s="19">
        <v>9</v>
      </c>
      <c r="N30" s="19">
        <v>10</v>
      </c>
    </row>
    <row r="31" spans="1:18" ht="23.4" customHeight="1">
      <c r="A31" s="20" t="s">
        <v>0</v>
      </c>
      <c r="B31" s="20" t="s">
        <v>1</v>
      </c>
      <c r="C31" s="21" t="s">
        <v>2</v>
      </c>
      <c r="D31" s="21" t="s">
        <v>3</v>
      </c>
      <c r="E31" s="21" t="s">
        <v>4</v>
      </c>
      <c r="F31" s="21" t="s">
        <v>16</v>
      </c>
      <c r="G31" s="21" t="s">
        <v>5</v>
      </c>
      <c r="H31" s="21" t="s">
        <v>10</v>
      </c>
      <c r="I31" s="21" t="s">
        <v>11</v>
      </c>
      <c r="J31" s="21" t="s">
        <v>6</v>
      </c>
      <c r="K31" s="21" t="s">
        <v>7</v>
      </c>
      <c r="L31" s="21" t="s">
        <v>8</v>
      </c>
      <c r="M31" s="21" t="s">
        <v>9</v>
      </c>
      <c r="N31" s="21" t="s">
        <v>41</v>
      </c>
    </row>
    <row r="32" spans="1:18" ht="19.95" customHeight="1">
      <c r="A32" s="57" t="s">
        <v>15</v>
      </c>
      <c r="B32" s="49" t="s">
        <v>91</v>
      </c>
      <c r="C32" s="22" t="s">
        <v>17</v>
      </c>
      <c r="D32" s="33" t="s">
        <v>93</v>
      </c>
      <c r="E32" s="25" t="s">
        <v>33</v>
      </c>
      <c r="F32" s="33">
        <v>85.000000000000014</v>
      </c>
      <c r="G32" s="51" t="s">
        <v>58</v>
      </c>
      <c r="H32" s="33">
        <v>1</v>
      </c>
      <c r="I32" s="58" t="s">
        <v>94</v>
      </c>
      <c r="J32" s="54">
        <v>35000</v>
      </c>
      <c r="K32" s="33">
        <v>107</v>
      </c>
      <c r="L32" s="53">
        <v>0.02</v>
      </c>
      <c r="M32" s="55">
        <v>3670100</v>
      </c>
      <c r="N32" s="26" t="s">
        <v>95</v>
      </c>
      <c r="P32" s="56"/>
      <c r="Q32" s="56"/>
      <c r="R32" s="56"/>
    </row>
    <row r="33" spans="1:14" ht="4.8" customHeight="1">
      <c r="A33" s="23"/>
      <c r="B33" s="50"/>
      <c r="C33" s="24"/>
      <c r="D33" s="34"/>
      <c r="E33" s="24"/>
      <c r="F33" s="34"/>
      <c r="G33" s="52"/>
      <c r="H33" s="34"/>
      <c r="I33" s="59"/>
      <c r="J33" s="24"/>
      <c r="K33" s="34"/>
      <c r="L33" s="24"/>
      <c r="M33" s="24"/>
      <c r="N33" s="24"/>
    </row>
    <row r="34" spans="1:14" ht="19.95" customHeight="1">
      <c r="A34" s="74" t="s">
        <v>0</v>
      </c>
      <c r="B34" s="75" t="s">
        <v>1</v>
      </c>
      <c r="C34" s="76" t="s">
        <v>2</v>
      </c>
      <c r="D34" s="77" t="s">
        <v>3</v>
      </c>
      <c r="E34" s="78" t="s">
        <v>4</v>
      </c>
      <c r="F34" s="77" t="s">
        <v>16</v>
      </c>
      <c r="G34" s="79" t="s">
        <v>5</v>
      </c>
      <c r="H34" s="77" t="s">
        <v>121</v>
      </c>
      <c r="I34" s="80" t="s">
        <v>11</v>
      </c>
      <c r="J34" s="81" t="s">
        <v>6</v>
      </c>
      <c r="K34" s="77" t="s">
        <v>7</v>
      </c>
      <c r="L34" s="82" t="s">
        <v>122</v>
      </c>
      <c r="M34" s="83" t="s">
        <v>9</v>
      </c>
      <c r="N34" s="84" t="s">
        <v>41</v>
      </c>
    </row>
    <row r="35" spans="1:14" ht="19.95" customHeight="1">
      <c r="A35" s="61">
        <v>1</v>
      </c>
      <c r="B35" s="49" t="s">
        <v>63</v>
      </c>
      <c r="C35" s="22" t="s">
        <v>18</v>
      </c>
      <c r="D35" s="33" t="str">
        <f>IF(LEFT(B35,2)="S1","Studio 1",
 IF(LEFT(B35,2)="S2","Studio 2",
 IF(LEFT(B35,2)="S3","Studio 3",
 IF(LEFT(B35,2)="S4","Studio 4",""))))</f>
        <v>Studio 1</v>
      </c>
      <c r="E35" s="25" t="s">
        <v>34</v>
      </c>
      <c r="F35" s="33">
        <f>(TIMEVALUE(MID(E35,FIND("-",E35)+1,5)) - TIMEVALUE(LEFT(E35,5)))*1440</f>
        <v>125.00000000000003</v>
      </c>
      <c r="G35" s="51" t="str">
        <f>IF(MID(B35,FIND("-",B35,FIND("-",B35,4)+1)+1,1)="R","Reguler",
IF(MID(B35,FIND("-",B35,FIND("-",B35,4)+1)+1,1)="C","Couple",
IF(MID(B35,FIND("-",B35,FIND("-",B35,4)+1)+1,1)="V","VIP","")))</f>
        <v>VIP</v>
      </c>
      <c r="H35" s="33">
        <f>VALUE(LEFT(_xlfn.TEXTBEFORE(_xlfn.TEXTAFTER(B35,"-",2),"-"),LEN(_xlfn.TEXTBEFORE(_xlfn.TEXTAFTER(B35,"-",2),"-"))-1))</f>
        <v>1</v>
      </c>
      <c r="I35" s="58" t="str">
        <f>IF(H35&lt;=5,"Kanan","Kiri")</f>
        <v>Kanan</v>
      </c>
      <c r="J35" s="54">
        <f>VLOOKUP(TIMEVALUE(LEFT(E35,5)),$J$14:$K$19,2,TRUE)</f>
        <v>37000</v>
      </c>
      <c r="K35" s="33">
        <f>_xlfn.LET(
_xlpm.r,_xlfn.TEXTAFTER(B35,"-",4),
_xlpm.s,SUBSTITUTE(SUBSTITUTE(SUBSTITUTE(SUBSTITUTE(SUBSTITUTE(SUBSTITUTE(SUBSTITUTE(_xlpm.r,"CM","DCCCC"),"CD","CCCC"),"XC","LXXXX"),"XL","XXXX"),"IX","VIIII"),"IV","IIII"),"M","DD"),
LEN(_xlpm.s)-LEN(SUBSTITUTE(_xlpm.s,"I",""))+
5*(LEN(_xlpm.s)-LEN(SUBSTITUTE(_xlpm.s,"V","")))+
10*(LEN(_xlpm.s)-LEN(SUBSTITUTE(_xlpm.s,"X","")))+
50*(LEN(_xlpm.s)-LEN(SUBSTITUTE(_xlpm.s,"L","")))+
100*(LEN(_xlpm.s)-LEN(SUBSTITUTE(_xlpm.s,"C","")))+
500*(LEN(_xlpm.s)-LEN(SUBSTITUTE(_xlpm.s,"D","")))
)</f>
        <v>105</v>
      </c>
      <c r="L35" s="53" cm="1">
        <f t="array" ref="L35">_xlfn.IFS(
G35="Reguler",0.02,
G35="Couple",0.08,
G35="VIP",0.12,
TRUE,0
)</f>
        <v>0.12</v>
      </c>
      <c r="M35" s="55">
        <f>J35*K35-(J35*K35*L35)</f>
        <v>3418800</v>
      </c>
      <c r="N35" s="62" t="str">
        <f>IF(MID(B35,4,1)="M","M-tix",
 IF(MID(B35,4,1)="C","CGV Apps",
 IF(MID(B35,4,1)="T","Tunai","")))</f>
        <v>M-tix</v>
      </c>
    </row>
    <row r="36" spans="1:14" ht="19.95" customHeight="1">
      <c r="A36" s="61">
        <v>2</v>
      </c>
      <c r="B36" s="49" t="s">
        <v>64</v>
      </c>
      <c r="C36" s="22" t="s">
        <v>19</v>
      </c>
      <c r="D36" s="33" t="str">
        <f t="shared" ref="D36:D49" si="0">IF(LEFT(B36,2)="S1","Studio 1",
 IF(LEFT(B36,2)="S2","Studio 2",
 IF(LEFT(B36,2)="S3","Studio 3",
 IF(LEFT(B36,2)="S4","Studio 4",""))))</f>
        <v>Studio 2</v>
      </c>
      <c r="E36" s="25" t="s">
        <v>62</v>
      </c>
      <c r="F36" s="33">
        <f t="shared" ref="F36:F49" si="1">(TIMEVALUE(MID(E36,FIND("-",E36)+1,5)) - TIMEVALUE(LEFT(E36,5)))*1440</f>
        <v>59.000000000000114</v>
      </c>
      <c r="G36" s="51" t="str">
        <f t="shared" ref="G36:G49" si="2">IF(MID(B36,FIND("-",B36,FIND("-",B36,4)+1)+1,1)="R","Reguler",
IF(MID(B36,FIND("-",B36,FIND("-",B36,4)+1)+1,1)="C","Couple",
IF(MID(B36,FIND("-",B36,FIND("-",B36,4)+1)+1,1)="V","VIP","")))</f>
        <v>Reguler</v>
      </c>
      <c r="H36" s="33">
        <f t="shared" ref="H36:H49" si="3">VALUE(LEFT(_xlfn.TEXTBEFORE(_xlfn.TEXTAFTER(B36,"-",2),"-"),LEN(_xlfn.TEXTBEFORE(_xlfn.TEXTAFTER(B36,"-",2),"-"))-1))</f>
        <v>2</v>
      </c>
      <c r="I36" s="58" t="str">
        <f t="shared" ref="I36:I49" si="4">IF(H36&lt;=5,"Kanan","Kiri")</f>
        <v>Kanan</v>
      </c>
      <c r="J36" s="54">
        <f t="shared" ref="J36:J49" si="5">VLOOKUP(TIMEVALUE(LEFT(E36,5)),$J$14:$K$19,2,TRUE)</f>
        <v>34000</v>
      </c>
      <c r="K36" s="33">
        <f t="shared" ref="K36:K49" si="6">_xlfn.LET(
_xlpm.r,_xlfn.TEXTAFTER(B36,"-",4),
_xlpm.s,SUBSTITUTE(SUBSTITUTE(SUBSTITUTE(SUBSTITUTE(SUBSTITUTE(SUBSTITUTE(SUBSTITUTE(_xlpm.r,"CM","DCCCC"),"CD","CCCC"),"XC","LXXXX"),"XL","XXXX"),"IX","VIIII"),"IV","IIII"),"M","DD"),
LEN(_xlpm.s)-LEN(SUBSTITUTE(_xlpm.s,"I",""))+
5*(LEN(_xlpm.s)-LEN(SUBSTITUTE(_xlpm.s,"V","")))+
10*(LEN(_xlpm.s)-LEN(SUBSTITUTE(_xlpm.s,"X","")))+
50*(LEN(_xlpm.s)-LEN(SUBSTITUTE(_xlpm.s,"L","")))+
100*(LEN(_xlpm.s)-LEN(SUBSTITUTE(_xlpm.s,"C","")))+
500*(LEN(_xlpm.s)-LEN(SUBSTITUTE(_xlpm.s,"D","")))
)</f>
        <v>58</v>
      </c>
      <c r="L36" s="53" cm="1">
        <f t="array" ref="L36">_xlfn.IFS(
G36="Reguler",0.02,
G36="Couple",0.08,
G36="VIP",0.12,
TRUE,0
)</f>
        <v>0.02</v>
      </c>
      <c r="M36" s="55">
        <f t="shared" ref="M36:M49" si="7">J36*K36-(J36*K36*L36)</f>
        <v>1932560</v>
      </c>
      <c r="N36" s="62" t="str">
        <f t="shared" ref="N36:N49" si="8">IF(MID(B36,4,1)="M","M-tix",
 IF(MID(B36,4,1)="C","CGV Apps",
 IF(MID(B36,4,1)="T","Tunai","")))</f>
        <v>CGV Apps</v>
      </c>
    </row>
    <row r="37" spans="1:14" ht="19.95" customHeight="1">
      <c r="A37" s="61">
        <v>3</v>
      </c>
      <c r="B37" s="49" t="s">
        <v>73</v>
      </c>
      <c r="C37" s="22" t="s">
        <v>20</v>
      </c>
      <c r="D37" s="33" t="str">
        <f t="shared" si="0"/>
        <v>Studio 2</v>
      </c>
      <c r="E37" s="25" t="s">
        <v>78</v>
      </c>
      <c r="F37" s="33">
        <f t="shared" si="1"/>
        <v>75.000000000000057</v>
      </c>
      <c r="G37" s="51" t="str">
        <f t="shared" si="2"/>
        <v>Couple</v>
      </c>
      <c r="H37" s="33">
        <f t="shared" si="3"/>
        <v>7</v>
      </c>
      <c r="I37" s="58" t="str">
        <f t="shared" si="4"/>
        <v>Kiri</v>
      </c>
      <c r="J37" s="54">
        <f t="shared" si="5"/>
        <v>34000</v>
      </c>
      <c r="K37" s="33">
        <f t="shared" si="6"/>
        <v>96</v>
      </c>
      <c r="L37" s="53" cm="1">
        <f t="array" ref="L37">_xlfn.IFS(
G37="Reguler",0.02,
G37="Couple",0.08,
G37="VIP",0.12,
TRUE,0
)</f>
        <v>0.08</v>
      </c>
      <c r="M37" s="55">
        <f t="shared" si="7"/>
        <v>3002880</v>
      </c>
      <c r="N37" s="62" t="str">
        <f t="shared" si="8"/>
        <v>Tunai</v>
      </c>
    </row>
    <row r="38" spans="1:14" ht="19.95" customHeight="1">
      <c r="A38" s="61">
        <v>4</v>
      </c>
      <c r="B38" s="49" t="s">
        <v>65</v>
      </c>
      <c r="C38" s="22" t="s">
        <v>21</v>
      </c>
      <c r="D38" s="33" t="str">
        <f t="shared" si="0"/>
        <v>Studio 3</v>
      </c>
      <c r="E38" s="25" t="s">
        <v>79</v>
      </c>
      <c r="F38" s="33">
        <f t="shared" si="1"/>
        <v>87.000000000000014</v>
      </c>
      <c r="G38" s="51" t="str">
        <f t="shared" si="2"/>
        <v>Reguler</v>
      </c>
      <c r="H38" s="33">
        <f t="shared" si="3"/>
        <v>3</v>
      </c>
      <c r="I38" s="58" t="str">
        <f t="shared" si="4"/>
        <v>Kanan</v>
      </c>
      <c r="J38" s="54">
        <f t="shared" si="5"/>
        <v>37000</v>
      </c>
      <c r="K38" s="33">
        <f t="shared" si="6"/>
        <v>78</v>
      </c>
      <c r="L38" s="53" cm="1">
        <f t="array" ref="L38">_xlfn.IFS(
G38="Reguler",0.02,
G38="Couple",0.08,
G38="VIP",0.12,
TRUE,0
)</f>
        <v>0.02</v>
      </c>
      <c r="M38" s="55">
        <f t="shared" si="7"/>
        <v>2828280</v>
      </c>
      <c r="N38" s="62" t="str">
        <f t="shared" si="8"/>
        <v>M-tix</v>
      </c>
    </row>
    <row r="39" spans="1:14" ht="19.95" customHeight="1">
      <c r="A39" s="61">
        <v>5</v>
      </c>
      <c r="B39" s="49" t="s">
        <v>74</v>
      </c>
      <c r="C39" s="22" t="s">
        <v>22</v>
      </c>
      <c r="D39" s="33" t="str">
        <f t="shared" si="0"/>
        <v>Studio 3</v>
      </c>
      <c r="E39" s="25" t="s">
        <v>80</v>
      </c>
      <c r="F39" s="33">
        <f t="shared" si="1"/>
        <v>64.999999999999929</v>
      </c>
      <c r="G39" s="51" t="str">
        <f t="shared" si="2"/>
        <v>VIP</v>
      </c>
      <c r="H39" s="33">
        <f t="shared" si="3"/>
        <v>8</v>
      </c>
      <c r="I39" s="58" t="str">
        <f t="shared" si="4"/>
        <v>Kiri</v>
      </c>
      <c r="J39" s="54">
        <f t="shared" si="5"/>
        <v>55000</v>
      </c>
      <c r="K39" s="33">
        <f t="shared" si="6"/>
        <v>87</v>
      </c>
      <c r="L39" s="53" cm="1">
        <f t="array" ref="L39">_xlfn.IFS(
G39="Reguler",0.02,
G39="Couple",0.08,
G39="VIP",0.12,
TRUE,0
)</f>
        <v>0.12</v>
      </c>
      <c r="M39" s="55">
        <f t="shared" si="7"/>
        <v>4210800</v>
      </c>
      <c r="N39" s="62" t="str">
        <f t="shared" si="8"/>
        <v>CGV Apps</v>
      </c>
    </row>
    <row r="40" spans="1:14" ht="19.95" customHeight="1">
      <c r="A40" s="61">
        <v>6</v>
      </c>
      <c r="B40" s="49" t="s">
        <v>66</v>
      </c>
      <c r="C40" s="22" t="s">
        <v>31</v>
      </c>
      <c r="D40" s="33" t="str">
        <f t="shared" si="0"/>
        <v>Studio 4</v>
      </c>
      <c r="E40" s="25" t="s">
        <v>81</v>
      </c>
      <c r="F40" s="33">
        <f t="shared" si="1"/>
        <v>70.000000000000071</v>
      </c>
      <c r="G40" s="51" t="str">
        <f t="shared" si="2"/>
        <v>Reguler</v>
      </c>
      <c r="H40" s="33">
        <f t="shared" si="3"/>
        <v>4</v>
      </c>
      <c r="I40" s="58" t="str">
        <f t="shared" si="4"/>
        <v>Kanan</v>
      </c>
      <c r="J40" s="54">
        <f t="shared" si="5"/>
        <v>35000</v>
      </c>
      <c r="K40" s="33">
        <f t="shared" si="6"/>
        <v>74</v>
      </c>
      <c r="L40" s="53" cm="1">
        <f t="array" ref="L40">_xlfn.IFS(
G40="Reguler",0.02,
G40="Couple",0.08,
G40="VIP",0.12,
TRUE,0
)</f>
        <v>0.02</v>
      </c>
      <c r="M40" s="55">
        <f t="shared" si="7"/>
        <v>2538200</v>
      </c>
      <c r="N40" s="62" t="str">
        <f t="shared" si="8"/>
        <v>Tunai</v>
      </c>
    </row>
    <row r="41" spans="1:14" ht="19.95" customHeight="1">
      <c r="A41" s="61">
        <v>7</v>
      </c>
      <c r="B41" s="49" t="s">
        <v>75</v>
      </c>
      <c r="C41" s="22" t="s">
        <v>29</v>
      </c>
      <c r="D41" s="33" t="str">
        <f t="shared" si="0"/>
        <v>Studio 4</v>
      </c>
      <c r="E41" s="25" t="s">
        <v>82</v>
      </c>
      <c r="F41" s="33">
        <f t="shared" si="1"/>
        <v>93.999999999999986</v>
      </c>
      <c r="G41" s="51" t="str">
        <f t="shared" si="2"/>
        <v>Couple</v>
      </c>
      <c r="H41" s="33">
        <f t="shared" si="3"/>
        <v>6</v>
      </c>
      <c r="I41" s="58" t="str">
        <f t="shared" si="4"/>
        <v>Kiri</v>
      </c>
      <c r="J41" s="54">
        <f t="shared" si="5"/>
        <v>45000</v>
      </c>
      <c r="K41" s="33">
        <f t="shared" si="6"/>
        <v>51</v>
      </c>
      <c r="L41" s="53" cm="1">
        <f t="array" ref="L41">_xlfn.IFS(
G41="Reguler",0.02,
G41="Couple",0.08,
G41="VIP",0.12,
TRUE,0
)</f>
        <v>0.08</v>
      </c>
      <c r="M41" s="55">
        <f t="shared" si="7"/>
        <v>2111400</v>
      </c>
      <c r="N41" s="62" t="str">
        <f t="shared" si="8"/>
        <v>M-tix</v>
      </c>
    </row>
    <row r="42" spans="1:14" ht="19.95" customHeight="1">
      <c r="A42" s="61">
        <v>8</v>
      </c>
      <c r="B42" s="49" t="s">
        <v>67</v>
      </c>
      <c r="C42" s="22" t="s">
        <v>30</v>
      </c>
      <c r="D42" s="33" t="str">
        <f t="shared" si="0"/>
        <v>Studio 1</v>
      </c>
      <c r="E42" s="25" t="s">
        <v>83</v>
      </c>
      <c r="F42" s="33">
        <f t="shared" si="1"/>
        <v>104.00000000000011</v>
      </c>
      <c r="G42" s="51" t="str">
        <f t="shared" si="2"/>
        <v>VIP</v>
      </c>
      <c r="H42" s="33">
        <f t="shared" si="3"/>
        <v>5</v>
      </c>
      <c r="I42" s="58" t="str">
        <f t="shared" si="4"/>
        <v>Kanan</v>
      </c>
      <c r="J42" s="54">
        <f t="shared" si="5"/>
        <v>55000</v>
      </c>
      <c r="K42" s="33">
        <f t="shared" si="6"/>
        <v>89</v>
      </c>
      <c r="L42" s="53" cm="1">
        <f t="array" ref="L42">_xlfn.IFS(
G42="Reguler",0.02,
G42="Couple",0.08,
G42="VIP",0.12,
TRUE,0
)</f>
        <v>0.12</v>
      </c>
      <c r="M42" s="55">
        <f t="shared" si="7"/>
        <v>4307600</v>
      </c>
      <c r="N42" s="62" t="str">
        <f t="shared" si="8"/>
        <v>CGV Apps</v>
      </c>
    </row>
    <row r="43" spans="1:14" ht="19.95" customHeight="1">
      <c r="A43" s="61">
        <v>9</v>
      </c>
      <c r="B43" s="49" t="s">
        <v>68</v>
      </c>
      <c r="C43" s="22" t="s">
        <v>28</v>
      </c>
      <c r="D43" s="33" t="str">
        <f t="shared" si="0"/>
        <v>Studio 2</v>
      </c>
      <c r="E43" s="25" t="s">
        <v>84</v>
      </c>
      <c r="F43" s="33">
        <f t="shared" si="1"/>
        <v>115.00000000000007</v>
      </c>
      <c r="G43" s="51" t="str">
        <f t="shared" si="2"/>
        <v>Reguler</v>
      </c>
      <c r="H43" s="33">
        <f t="shared" si="3"/>
        <v>5</v>
      </c>
      <c r="I43" s="58" t="str">
        <f t="shared" si="4"/>
        <v>Kanan</v>
      </c>
      <c r="J43" s="54">
        <f t="shared" si="5"/>
        <v>45000</v>
      </c>
      <c r="K43" s="33">
        <f t="shared" si="6"/>
        <v>87</v>
      </c>
      <c r="L43" s="53" cm="1">
        <f t="array" ref="L43">_xlfn.IFS(
G43="Reguler",0.02,
G43="Couple",0.08,
G43="VIP",0.12,
TRUE,0
)</f>
        <v>0.02</v>
      </c>
      <c r="M43" s="55">
        <f t="shared" si="7"/>
        <v>3836700</v>
      </c>
      <c r="N43" s="62" t="str">
        <f t="shared" si="8"/>
        <v>Tunai</v>
      </c>
    </row>
    <row r="44" spans="1:14" ht="19.95" customHeight="1">
      <c r="A44" s="61">
        <v>10</v>
      </c>
      <c r="B44" s="49" t="s">
        <v>69</v>
      </c>
      <c r="C44" s="22" t="s">
        <v>32</v>
      </c>
      <c r="D44" s="33" t="str">
        <f t="shared" si="0"/>
        <v>Studio 3</v>
      </c>
      <c r="E44" s="25" t="s">
        <v>85</v>
      </c>
      <c r="F44" s="33">
        <f t="shared" si="1"/>
        <v>135</v>
      </c>
      <c r="G44" s="51" t="str">
        <f t="shared" si="2"/>
        <v>Couple</v>
      </c>
      <c r="H44" s="33">
        <f t="shared" si="3"/>
        <v>6</v>
      </c>
      <c r="I44" s="58" t="str">
        <f t="shared" si="4"/>
        <v>Kiri</v>
      </c>
      <c r="J44" s="54">
        <f t="shared" si="5"/>
        <v>37000</v>
      </c>
      <c r="K44" s="33">
        <f t="shared" si="6"/>
        <v>92</v>
      </c>
      <c r="L44" s="53" cm="1">
        <f t="array" ref="L44">_xlfn.IFS(
G44="Reguler",0.02,
G44="Couple",0.08,
G44="VIP",0.12,
TRUE,0
)</f>
        <v>0.08</v>
      </c>
      <c r="M44" s="55">
        <f t="shared" si="7"/>
        <v>3131680</v>
      </c>
      <c r="N44" s="62" t="str">
        <f t="shared" si="8"/>
        <v>M-tix</v>
      </c>
    </row>
    <row r="45" spans="1:14" ht="19.95" customHeight="1">
      <c r="A45" s="61">
        <v>11</v>
      </c>
      <c r="B45" s="49" t="s">
        <v>70</v>
      </c>
      <c r="C45" s="22" t="s">
        <v>23</v>
      </c>
      <c r="D45" s="33" t="str">
        <f t="shared" si="0"/>
        <v>Studio 4</v>
      </c>
      <c r="E45" s="25" t="s">
        <v>86</v>
      </c>
      <c r="F45" s="33">
        <f t="shared" si="1"/>
        <v>110.00000000000009</v>
      </c>
      <c r="G45" s="51" t="str">
        <f t="shared" si="2"/>
        <v>VIP</v>
      </c>
      <c r="H45" s="33">
        <f t="shared" si="3"/>
        <v>6</v>
      </c>
      <c r="I45" s="58" t="str">
        <f t="shared" si="4"/>
        <v>Kiri</v>
      </c>
      <c r="J45" s="54">
        <f t="shared" si="5"/>
        <v>34000</v>
      </c>
      <c r="K45" s="33">
        <f t="shared" si="6"/>
        <v>101</v>
      </c>
      <c r="L45" s="53" cm="1">
        <f t="array" ref="L45">_xlfn.IFS(
G45="Reguler",0.02,
G45="Couple",0.08,
G45="VIP",0.12,
TRUE,0
)</f>
        <v>0.12</v>
      </c>
      <c r="M45" s="55">
        <f t="shared" si="7"/>
        <v>3021920</v>
      </c>
      <c r="N45" s="62" t="str">
        <f t="shared" si="8"/>
        <v>CGV Apps</v>
      </c>
    </row>
    <row r="46" spans="1:14" ht="19.95" customHeight="1">
      <c r="A46" s="61">
        <v>12</v>
      </c>
      <c r="B46" s="49" t="s">
        <v>71</v>
      </c>
      <c r="C46" s="22" t="s">
        <v>24</v>
      </c>
      <c r="D46" s="33" t="str">
        <f t="shared" si="0"/>
        <v>Studio 1</v>
      </c>
      <c r="E46" s="25" t="s">
        <v>87</v>
      </c>
      <c r="F46" s="33">
        <f t="shared" si="1"/>
        <v>128.00000000000003</v>
      </c>
      <c r="G46" s="51" t="str">
        <f t="shared" si="2"/>
        <v>Reguler</v>
      </c>
      <c r="H46" s="33">
        <f t="shared" si="3"/>
        <v>7</v>
      </c>
      <c r="I46" s="58" t="str">
        <f t="shared" si="4"/>
        <v>Kiri</v>
      </c>
      <c r="J46" s="54">
        <f t="shared" si="5"/>
        <v>35000</v>
      </c>
      <c r="K46" s="33">
        <f t="shared" si="6"/>
        <v>54</v>
      </c>
      <c r="L46" s="53" cm="1">
        <f t="array" ref="L46">_xlfn.IFS(
G46="Reguler",0.02,
G46="Couple",0.08,
G46="VIP",0.12,
TRUE,0
)</f>
        <v>0.02</v>
      </c>
      <c r="M46" s="55">
        <f t="shared" si="7"/>
        <v>1852200</v>
      </c>
      <c r="N46" s="62" t="str">
        <f t="shared" si="8"/>
        <v>Tunai</v>
      </c>
    </row>
    <row r="47" spans="1:14" ht="19.95" customHeight="1">
      <c r="A47" s="61">
        <v>13</v>
      </c>
      <c r="B47" s="49" t="s">
        <v>76</v>
      </c>
      <c r="C47" s="22" t="s">
        <v>25</v>
      </c>
      <c r="D47" s="33" t="str">
        <f t="shared" si="0"/>
        <v>Studio 2</v>
      </c>
      <c r="E47" s="25" t="s">
        <v>88</v>
      </c>
      <c r="F47" s="33">
        <f t="shared" si="1"/>
        <v>106.0000000000001</v>
      </c>
      <c r="G47" s="51" t="str">
        <f t="shared" si="2"/>
        <v>VIP</v>
      </c>
      <c r="H47" s="33">
        <f t="shared" si="3"/>
        <v>2</v>
      </c>
      <c r="I47" s="58" t="str">
        <f t="shared" si="4"/>
        <v>Kanan</v>
      </c>
      <c r="J47" s="54">
        <f t="shared" si="5"/>
        <v>45000</v>
      </c>
      <c r="K47" s="33">
        <f t="shared" si="6"/>
        <v>55</v>
      </c>
      <c r="L47" s="53" cm="1">
        <f t="array" ref="L47">_xlfn.IFS(
G47="Reguler",0.02,
G47="Couple",0.08,
G47="VIP",0.12,
TRUE,0
)</f>
        <v>0.12</v>
      </c>
      <c r="M47" s="55">
        <f t="shared" si="7"/>
        <v>2178000</v>
      </c>
      <c r="N47" s="62" t="str">
        <f t="shared" si="8"/>
        <v>M-tix</v>
      </c>
    </row>
    <row r="48" spans="1:14" ht="19.95" customHeight="1">
      <c r="A48" s="61">
        <v>14</v>
      </c>
      <c r="B48" s="49" t="s">
        <v>72</v>
      </c>
      <c r="C48" s="22" t="s">
        <v>26</v>
      </c>
      <c r="D48" s="33" t="str">
        <f t="shared" si="0"/>
        <v>Studio 3</v>
      </c>
      <c r="E48" s="25" t="s">
        <v>89</v>
      </c>
      <c r="F48" s="33">
        <f t="shared" si="1"/>
        <v>104.99999999999994</v>
      </c>
      <c r="G48" s="51" t="str">
        <f t="shared" si="2"/>
        <v>Reguler</v>
      </c>
      <c r="H48" s="33">
        <f t="shared" si="3"/>
        <v>8</v>
      </c>
      <c r="I48" s="58" t="str">
        <f t="shared" si="4"/>
        <v>Kiri</v>
      </c>
      <c r="J48" s="54">
        <f t="shared" si="5"/>
        <v>37000</v>
      </c>
      <c r="K48" s="33">
        <f t="shared" si="6"/>
        <v>87</v>
      </c>
      <c r="L48" s="53" cm="1">
        <f t="array" ref="L48">_xlfn.IFS(
G48="Reguler",0.02,
G48="Couple",0.08,
G48="VIP",0.12,
TRUE,0
)</f>
        <v>0.02</v>
      </c>
      <c r="M48" s="55">
        <f t="shared" si="7"/>
        <v>3154620</v>
      </c>
      <c r="N48" s="62" t="str">
        <f t="shared" si="8"/>
        <v>CGV Apps</v>
      </c>
    </row>
    <row r="49" spans="1:14">
      <c r="A49" s="63">
        <v>15</v>
      </c>
      <c r="B49" s="64" t="s">
        <v>77</v>
      </c>
      <c r="C49" s="65" t="s">
        <v>27</v>
      </c>
      <c r="D49" s="66" t="str">
        <f t="shared" si="0"/>
        <v>Studio 4</v>
      </c>
      <c r="E49" s="67" t="s">
        <v>90</v>
      </c>
      <c r="F49" s="66">
        <f t="shared" si="1"/>
        <v>76.000000000000057</v>
      </c>
      <c r="G49" s="68" t="str">
        <f t="shared" si="2"/>
        <v>Couple</v>
      </c>
      <c r="H49" s="66">
        <f t="shared" si="3"/>
        <v>2</v>
      </c>
      <c r="I49" s="69" t="str">
        <f t="shared" si="4"/>
        <v>Kanan</v>
      </c>
      <c r="J49" s="70">
        <f t="shared" si="5"/>
        <v>55000</v>
      </c>
      <c r="K49" s="66">
        <f t="shared" si="6"/>
        <v>84</v>
      </c>
      <c r="L49" s="71" cm="1">
        <f t="array" ref="L49">_xlfn.IFS(
G49="Reguler",0.02,
G49="Couple",0.08,
G49="VIP",0.12,
TRUE,0
)</f>
        <v>0.08</v>
      </c>
      <c r="M49" s="72">
        <f t="shared" si="7"/>
        <v>4250400</v>
      </c>
      <c r="N49" s="73" t="str">
        <f t="shared" si="8"/>
        <v>Tunai</v>
      </c>
    </row>
    <row r="51" spans="1:14">
      <c r="C51" s="1"/>
      <c r="D51" s="1"/>
    </row>
    <row r="52" spans="1:14">
      <c r="C52" s="1"/>
      <c r="D52" s="1"/>
    </row>
    <row r="53" spans="1:14">
      <c r="C53" s="1"/>
      <c r="D53" s="1"/>
    </row>
  </sheetData>
  <mergeCells count="3">
    <mergeCell ref="B26:L26"/>
    <mergeCell ref="A1:M1"/>
    <mergeCell ref="A24:M24"/>
  </mergeCells>
  <phoneticPr fontId="21" type="noConversion"/>
  <dataValidations count="4">
    <dataValidation allowBlank="1" showInputMessage="1" showErrorMessage="1" promptTitle="Hint" prompt="Coba gunakan MID" sqref="H6" xr:uid="{2E5049EE-52EB-4675-ADFE-A37B8B842EBE}"/>
    <dataValidation allowBlank="1" showInputMessage="1" showErrorMessage="1" promptTitle="Hint" prompt="Jumlah tiket harus ditulis dalam bentuk Arabic " sqref="H14" xr:uid="{95C43B33-25A4-4D11-A80D-E35F0FAA043F}"/>
    <dataValidation allowBlank="1" showInputMessage="1" showErrorMessage="1" prompt="Produksi Film Agak Laen" sqref="H7" xr:uid="{17D50021-6F80-44C9-BD13-0B663784BCA1}"/>
    <dataValidation allowBlank="1" showInputMessage="1" showErrorMessage="1" prompt="Cari yang mendekati" sqref="H12" xr:uid="{1BF81662-4E72-46FB-AB71-6DCC99D89559}"/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B458E-AC88-45B7-9261-D994343F69F9}">
  <sheetPr codeName="Sheet2"/>
  <dimension ref="A1:AB47"/>
  <sheetViews>
    <sheetView topLeftCell="A28" workbookViewId="0">
      <selection activeCell="B46" sqref="B46"/>
    </sheetView>
  </sheetViews>
  <sheetFormatPr defaultRowHeight="14.4"/>
  <cols>
    <col min="2" max="2" width="11.6640625" customWidth="1"/>
    <col min="11" max="11" width="12.5546875" customWidth="1"/>
    <col min="12" max="12" width="10.88671875" customWidth="1"/>
    <col min="19" max="19" width="7.77734375" customWidth="1"/>
  </cols>
  <sheetData>
    <row r="1" spans="1:28">
      <c r="A1" t="s">
        <v>104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</v>
      </c>
      <c r="N1">
        <v>3</v>
      </c>
      <c r="O1">
        <v>5</v>
      </c>
      <c r="P1">
        <v>10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  <c r="Y1">
        <v>7</v>
      </c>
      <c r="Z1">
        <v>8</v>
      </c>
      <c r="AA1">
        <v>9</v>
      </c>
      <c r="AB1">
        <v>10</v>
      </c>
    </row>
    <row r="2" spans="1:28">
      <c r="A2" t="s">
        <v>120</v>
      </c>
      <c r="B2">
        <v>1</v>
      </c>
      <c r="C2" t="str">
        <f>UPPER('XL-Test'!D35)</f>
        <v>STUDIO 1</v>
      </c>
      <c r="D2">
        <f>'XL-Test'!F35</f>
        <v>125.00000000000003</v>
      </c>
      <c r="E2" t="str">
        <f>'XL-Test'!G35</f>
        <v>VIP</v>
      </c>
      <c r="F2">
        <f>'XL-Test'!H35</f>
        <v>1</v>
      </c>
      <c r="G2" t="str">
        <f>UPPER('XL-Test'!I35)</f>
        <v>KANAN</v>
      </c>
      <c r="H2">
        <f>'XL-Test'!J35</f>
        <v>37000</v>
      </c>
      <c r="I2">
        <f>'XL-Test'!K35</f>
        <v>105</v>
      </c>
      <c r="J2">
        <f>'XL-Test'!L35</f>
        <v>0.12</v>
      </c>
      <c r="K2">
        <f>'XL-Test'!M35</f>
        <v>3418800</v>
      </c>
      <c r="L2" t="str">
        <f>UPPER(SUBSTITUTE(SUBSTITUTE('XL-Test'!N35,"-","")," ",""))</f>
        <v>MTIX</v>
      </c>
      <c r="M2">
        <f>CODE(LEFT(C2))+CODE(MID(C2,3,1))+RIGHT(C2)</f>
        <v>169</v>
      </c>
      <c r="N2">
        <f>CODE(LEFT(E2))+CODE(MID(E2,3,1))+CODE(RIGHT(E2))</f>
        <v>246</v>
      </c>
      <c r="O2">
        <f>CODE(LEFT(G2))+CODE(MID(G2,3,1))+CODE(RIGHT(G2))</f>
        <v>231</v>
      </c>
      <c r="P2">
        <f>CODE(LEFT(L2))+CODE(MID(L2,3,1))+CODE(RIGHT(L2))</f>
        <v>238</v>
      </c>
      <c r="R2">
        <v>1</v>
      </c>
      <c r="S2" t="str">
        <f ca="1">_xlfn.FORMULATEXT('XL-Test'!D35)</f>
        <v>=IF(LEFT(B35,2)="S1","Studio 1",
 IF(LEFT(B35,2)="S2","Studio 2",
 IF(LEFT(B35,2)="S3","Studio 3",
 IF(LEFT(B35,2)="S4","Studio 4",""))))</v>
      </c>
      <c r="T2" t="str">
        <f ca="1">_xlfn.FORMULATEXT('XL-Test'!F35)</f>
        <v>=(TIMEVALUE(MID(E35,FIND("-",E35)+1,5)) - TIMEVALUE(LEFT(E35,5)))*1440</v>
      </c>
      <c r="U2" t="str">
        <f ca="1">_xlfn.FORMULATEXT('XL-Test'!G35)</f>
        <v>=IF(MID(B35,FIND("-",B35,FIND("-",B35,4)+1)+1,1)="R","Reguler",
IF(MID(B35,FIND("-",B35,FIND("-",B35,4)+1)+1,1)="C","Couple",
IF(MID(B35,FIND("-",B35,FIND("-",B35,4)+1)+1,1)="V","VIP","")))</v>
      </c>
      <c r="V2" t="str">
        <f ca="1">_xlfn.FORMULATEXT('XL-Test'!H35)</f>
        <v>=VALUE(LEFT(TEXTBEFORE(TEXTAFTER(B35,"-",2),"-"),LEN(TEXTBEFORE(TEXTAFTER(B35,"-",2),"-"))-1))</v>
      </c>
      <c r="W2" t="str">
        <f ca="1">_xlfn.FORMULATEXT('XL-Test'!I35)</f>
        <v>=IF(H35&lt;=5,"Kanan","Kiri")</v>
      </c>
      <c r="X2" t="str">
        <f ca="1">_xlfn.FORMULATEXT('XL-Test'!J35)</f>
        <v>=VLOOKUP(TIMEVALUE(LEFT(E35,5)),$J$14:$K$19,2,TRUE)</v>
      </c>
      <c r="Y2" t="str">
        <f ca="1">_xlfn.FORMULATEXT('XL-Test'!K35)</f>
        <v>=LET(
r,TEXTAFTER(B35,"-",4),
s,SUBSTITUTE(SUBSTITUTE(SUBSTITUTE(SUBSTITUTE(SUBSTITUTE(SUBSTITUTE(SUBSTITUTE(r,"CM","DCCCC"),"CD","CCCC"),"XC","LXXXX"),"XL","XXXX"),"IX","VIIII"),"IV","IIII"),"M","DD"),
LEN(s)-LEN(SUBSTITUTE(s,"I",""))+
5*(LEN(s)-LEN(SUBSTITUTE(s,"V","")))+
10*(LEN(s)-LEN(SUBSTITUTE(s,"X","")))+
50*(LEN(s)-LEN(SUBSTITUTE(s,"L","")))+
100*(LEN(s)-LEN(SUBSTITUTE(s,"C","")))+
500*(LEN(s)-LEN(SUBSTITUTE(s,"D","")))
)</v>
      </c>
      <c r="Z2" t="str">
        <f ca="1">_xlfn.FORMULATEXT('XL-Test'!L35)</f>
        <v>=IFS(
G35="Reguler",0.02,
G35="Couple",0.08,
G35="VIP",0.12,
TRUE,0
)</v>
      </c>
      <c r="AA2" t="str">
        <f ca="1">_xlfn.FORMULATEXT('XL-Test'!M35)</f>
        <v>=J35*K35-(J35*K35*L35)</v>
      </c>
      <c r="AB2" t="str">
        <f ca="1">_xlfn.FORMULATEXT('XL-Test'!N35)</f>
        <v>=IF(MID(B35,4,1)="M","M-tix",
 IF(MID(B35,4,1)="C","CGV Apps",
 IF(MID(B35,4,1)="T","Tunai","")))</v>
      </c>
    </row>
    <row r="3" spans="1:28">
      <c r="B3">
        <v>2</v>
      </c>
      <c r="C3" t="str">
        <f>UPPER('XL-Test'!D36)</f>
        <v>STUDIO 2</v>
      </c>
      <c r="D3">
        <f>'XL-Test'!F36</f>
        <v>59.000000000000114</v>
      </c>
      <c r="E3" t="str">
        <f>'XL-Test'!G36</f>
        <v>Reguler</v>
      </c>
      <c r="F3">
        <f>'XL-Test'!H36</f>
        <v>2</v>
      </c>
      <c r="G3" t="str">
        <f>UPPER('XL-Test'!I36)</f>
        <v>KANAN</v>
      </c>
      <c r="H3">
        <f>'XL-Test'!J36</f>
        <v>34000</v>
      </c>
      <c r="I3">
        <f>'XL-Test'!K36</f>
        <v>58</v>
      </c>
      <c r="J3">
        <f>'XL-Test'!L36</f>
        <v>0.02</v>
      </c>
      <c r="K3">
        <f>'XL-Test'!M36</f>
        <v>1932560</v>
      </c>
      <c r="L3" t="str">
        <f>UPPER(SUBSTITUTE(SUBSTITUTE('XL-Test'!N36,"-","")," ",""))</f>
        <v>CGVAPPS</v>
      </c>
      <c r="M3">
        <f t="shared" ref="M3:M16" si="0">CODE(LEFT(C3))+CODE(MID(C3,3,1))+RIGHT(C3)</f>
        <v>170</v>
      </c>
      <c r="N3">
        <f t="shared" ref="N3:N16" si="1">CODE(LEFT(E3))+CODE(MID(E3,3,1))+CODE(RIGHT(E3))</f>
        <v>299</v>
      </c>
      <c r="O3">
        <f t="shared" ref="O3:O16" si="2">CODE(LEFT(G3))+CODE(MID(G3,3,1))+CODE(RIGHT(G3))</f>
        <v>231</v>
      </c>
      <c r="P3">
        <f t="shared" ref="P3:P16" si="3">CODE(LEFT(L3))+CODE(MID(L3,3,1))+CODE(RIGHT(L3))</f>
        <v>236</v>
      </c>
      <c r="R3">
        <v>2</v>
      </c>
      <c r="S3" t="str">
        <f ca="1">_xlfn.FORMULATEXT('XL-Test'!F35)</f>
        <v>=(TIMEVALUE(MID(E35,FIND("-",E35)+1,5)) - TIMEVALUE(LEFT(E35,5)))*1440</v>
      </c>
    </row>
    <row r="4" spans="1:28">
      <c r="B4">
        <v>3</v>
      </c>
      <c r="C4" t="str">
        <f>UPPER('XL-Test'!D37)</f>
        <v>STUDIO 2</v>
      </c>
      <c r="D4">
        <f>'XL-Test'!F37</f>
        <v>75.000000000000057</v>
      </c>
      <c r="E4" t="str">
        <f>'XL-Test'!G37</f>
        <v>Couple</v>
      </c>
      <c r="F4">
        <f>'XL-Test'!H37</f>
        <v>7</v>
      </c>
      <c r="G4" t="str">
        <f>UPPER('XL-Test'!I37)</f>
        <v>KIRI</v>
      </c>
      <c r="H4">
        <f>'XL-Test'!J37</f>
        <v>34000</v>
      </c>
      <c r="I4">
        <f>'XL-Test'!K37</f>
        <v>96</v>
      </c>
      <c r="J4">
        <f>'XL-Test'!L37</f>
        <v>0.08</v>
      </c>
      <c r="K4">
        <f>'XL-Test'!M37</f>
        <v>3002880</v>
      </c>
      <c r="L4" t="str">
        <f>UPPER(SUBSTITUTE(SUBSTITUTE('XL-Test'!N37,"-","")," ",""))</f>
        <v>TUNAI</v>
      </c>
      <c r="M4">
        <f t="shared" si="0"/>
        <v>170</v>
      </c>
      <c r="N4">
        <f t="shared" si="1"/>
        <v>285</v>
      </c>
      <c r="O4">
        <f t="shared" si="2"/>
        <v>230</v>
      </c>
      <c r="P4">
        <f t="shared" si="3"/>
        <v>235</v>
      </c>
      <c r="R4">
        <v>3</v>
      </c>
      <c r="S4" t="str">
        <f ca="1">_xlfn.FORMULATEXT('XL-Test'!G35)</f>
        <v>=IF(MID(B35,FIND("-",B35,FIND("-",B35,4)+1)+1,1)="R","Reguler",
IF(MID(B35,FIND("-",B35,FIND("-",B35,4)+1)+1,1)="C","Couple",
IF(MID(B35,FIND("-",B35,FIND("-",B35,4)+1)+1,1)="V","VIP","")))</v>
      </c>
    </row>
    <row r="5" spans="1:28">
      <c r="B5">
        <v>4</v>
      </c>
      <c r="C5" t="str">
        <f>UPPER('XL-Test'!D38)</f>
        <v>STUDIO 3</v>
      </c>
      <c r="D5">
        <f>'XL-Test'!F38</f>
        <v>87.000000000000014</v>
      </c>
      <c r="E5" t="str">
        <f>'XL-Test'!G38</f>
        <v>Reguler</v>
      </c>
      <c r="F5">
        <f>'XL-Test'!H38</f>
        <v>3</v>
      </c>
      <c r="G5" t="str">
        <f>UPPER('XL-Test'!I38)</f>
        <v>KANAN</v>
      </c>
      <c r="H5">
        <f>'XL-Test'!J38</f>
        <v>37000</v>
      </c>
      <c r="I5">
        <f>'XL-Test'!K38</f>
        <v>78</v>
      </c>
      <c r="J5">
        <f>'XL-Test'!L38</f>
        <v>0.02</v>
      </c>
      <c r="K5">
        <f>'XL-Test'!M38</f>
        <v>2828280</v>
      </c>
      <c r="L5" t="str">
        <f>UPPER(SUBSTITUTE(SUBSTITUTE('XL-Test'!N38,"-","")," ",""))</f>
        <v>MTIX</v>
      </c>
      <c r="M5">
        <f t="shared" si="0"/>
        <v>171</v>
      </c>
      <c r="N5">
        <f t="shared" si="1"/>
        <v>299</v>
      </c>
      <c r="O5">
        <f t="shared" si="2"/>
        <v>231</v>
      </c>
      <c r="P5">
        <f t="shared" si="3"/>
        <v>238</v>
      </c>
      <c r="R5">
        <v>4</v>
      </c>
      <c r="S5" t="str">
        <f ca="1">_xlfn.FORMULATEXT('XL-Test'!H35)</f>
        <v>=VALUE(LEFT(TEXTBEFORE(TEXTAFTER(B35,"-",2),"-"),LEN(TEXTBEFORE(TEXTAFTER(B35,"-",2),"-"))-1))</v>
      </c>
    </row>
    <row r="6" spans="1:28">
      <c r="B6">
        <v>5</v>
      </c>
      <c r="C6" t="str">
        <f>UPPER('XL-Test'!D39)</f>
        <v>STUDIO 3</v>
      </c>
      <c r="D6">
        <f>'XL-Test'!F39</f>
        <v>64.999999999999929</v>
      </c>
      <c r="E6" t="str">
        <f>'XL-Test'!G39</f>
        <v>VIP</v>
      </c>
      <c r="F6">
        <f>'XL-Test'!H39</f>
        <v>8</v>
      </c>
      <c r="G6" t="str">
        <f>UPPER('XL-Test'!I39)</f>
        <v>KIRI</v>
      </c>
      <c r="H6">
        <f>'XL-Test'!J39</f>
        <v>55000</v>
      </c>
      <c r="I6">
        <f>'XL-Test'!K39</f>
        <v>87</v>
      </c>
      <c r="J6">
        <f>'XL-Test'!L39</f>
        <v>0.12</v>
      </c>
      <c r="K6">
        <f>'XL-Test'!M39</f>
        <v>4210800</v>
      </c>
      <c r="L6" t="str">
        <f>UPPER(SUBSTITUTE(SUBSTITUTE('XL-Test'!N39,"-","")," ",""))</f>
        <v>CGVAPPS</v>
      </c>
      <c r="M6">
        <f t="shared" si="0"/>
        <v>171</v>
      </c>
      <c r="N6">
        <f t="shared" si="1"/>
        <v>246</v>
      </c>
      <c r="O6">
        <f t="shared" si="2"/>
        <v>230</v>
      </c>
      <c r="P6">
        <f t="shared" si="3"/>
        <v>236</v>
      </c>
      <c r="R6">
        <v>5</v>
      </c>
      <c r="S6" t="str">
        <f ca="1">_xlfn.FORMULATEXT('XL-Test'!I35)</f>
        <v>=IF(H35&lt;=5,"Kanan","Kiri")</v>
      </c>
    </row>
    <row r="7" spans="1:28">
      <c r="B7">
        <v>6</v>
      </c>
      <c r="C7" t="str">
        <f>UPPER('XL-Test'!D40)</f>
        <v>STUDIO 4</v>
      </c>
      <c r="D7">
        <f>'XL-Test'!F40</f>
        <v>70.000000000000071</v>
      </c>
      <c r="E7" t="str">
        <f>'XL-Test'!G40</f>
        <v>Reguler</v>
      </c>
      <c r="F7">
        <f>'XL-Test'!H40</f>
        <v>4</v>
      </c>
      <c r="G7" t="str">
        <f>UPPER('XL-Test'!I40)</f>
        <v>KANAN</v>
      </c>
      <c r="H7">
        <f>'XL-Test'!J40</f>
        <v>35000</v>
      </c>
      <c r="I7">
        <f>'XL-Test'!K40</f>
        <v>74</v>
      </c>
      <c r="J7">
        <f>'XL-Test'!L40</f>
        <v>0.02</v>
      </c>
      <c r="K7">
        <f>'XL-Test'!M40</f>
        <v>2538200</v>
      </c>
      <c r="L7" t="str">
        <f>UPPER(SUBSTITUTE(SUBSTITUTE('XL-Test'!N40,"-","")," ",""))</f>
        <v>TUNAI</v>
      </c>
      <c r="M7">
        <f t="shared" si="0"/>
        <v>172</v>
      </c>
      <c r="N7">
        <f t="shared" si="1"/>
        <v>299</v>
      </c>
      <c r="O7">
        <f t="shared" si="2"/>
        <v>231</v>
      </c>
      <c r="P7">
        <f t="shared" si="3"/>
        <v>235</v>
      </c>
      <c r="R7">
        <v>6</v>
      </c>
      <c r="S7" t="str">
        <f ca="1">_xlfn.FORMULATEXT('XL-Test'!J35)</f>
        <v>=VLOOKUP(TIMEVALUE(LEFT(E35,5)),$J$14:$K$19,2,TRUE)</v>
      </c>
    </row>
    <row r="8" spans="1:28">
      <c r="B8">
        <v>7</v>
      </c>
      <c r="C8" t="str">
        <f>UPPER('XL-Test'!D41)</f>
        <v>STUDIO 4</v>
      </c>
      <c r="D8">
        <f>'XL-Test'!F41</f>
        <v>93.999999999999986</v>
      </c>
      <c r="E8" t="str">
        <f>'XL-Test'!G41</f>
        <v>Couple</v>
      </c>
      <c r="F8">
        <f>'XL-Test'!H41</f>
        <v>6</v>
      </c>
      <c r="G8" t="str">
        <f>UPPER('XL-Test'!I41)</f>
        <v>KIRI</v>
      </c>
      <c r="H8">
        <f>'XL-Test'!J41</f>
        <v>45000</v>
      </c>
      <c r="I8">
        <f>'XL-Test'!K41</f>
        <v>51</v>
      </c>
      <c r="J8">
        <f>'XL-Test'!L41</f>
        <v>0.08</v>
      </c>
      <c r="K8">
        <f>'XL-Test'!M41</f>
        <v>2111400</v>
      </c>
      <c r="L8" t="str">
        <f>UPPER(SUBSTITUTE(SUBSTITUTE('XL-Test'!N41,"-","")," ",""))</f>
        <v>MTIX</v>
      </c>
      <c r="M8">
        <f t="shared" si="0"/>
        <v>172</v>
      </c>
      <c r="N8">
        <f t="shared" si="1"/>
        <v>285</v>
      </c>
      <c r="O8">
        <f t="shared" si="2"/>
        <v>230</v>
      </c>
      <c r="P8">
        <f t="shared" si="3"/>
        <v>238</v>
      </c>
      <c r="R8">
        <v>7</v>
      </c>
      <c r="S8" t="str">
        <f ca="1">_xlfn.FORMULATEXT('XL-Test'!K35)</f>
        <v>=LET(
r,TEXTAFTER(B35,"-",4),
s,SUBSTITUTE(SUBSTITUTE(SUBSTITUTE(SUBSTITUTE(SUBSTITUTE(SUBSTITUTE(SUBSTITUTE(r,"CM","DCCCC"),"CD","CCCC"),"XC","LXXXX"),"XL","XXXX"),"IX","VIIII"),"IV","IIII"),"M","DD"),
LEN(s)-LEN(SUBSTITUTE(s,"I",""))+
5*(LEN(s)-LEN(SUBSTITUTE(s,"V","")))+
10*(LEN(s)-LEN(SUBSTITUTE(s,"X","")))+
50*(LEN(s)-LEN(SUBSTITUTE(s,"L","")))+
100*(LEN(s)-LEN(SUBSTITUTE(s,"C","")))+
500*(LEN(s)-LEN(SUBSTITUTE(s,"D","")))
)</v>
      </c>
    </row>
    <row r="9" spans="1:28">
      <c r="B9">
        <v>8</v>
      </c>
      <c r="C9" t="str">
        <f>UPPER('XL-Test'!D42)</f>
        <v>STUDIO 1</v>
      </c>
      <c r="D9">
        <f>'XL-Test'!F42</f>
        <v>104.00000000000011</v>
      </c>
      <c r="E9" t="str">
        <f>'XL-Test'!G42</f>
        <v>VIP</v>
      </c>
      <c r="F9">
        <f>'XL-Test'!H42</f>
        <v>5</v>
      </c>
      <c r="G9" t="str">
        <f>UPPER('XL-Test'!I42)</f>
        <v>KANAN</v>
      </c>
      <c r="H9">
        <f>'XL-Test'!J42</f>
        <v>55000</v>
      </c>
      <c r="I9">
        <f>'XL-Test'!K42</f>
        <v>89</v>
      </c>
      <c r="J9">
        <f>'XL-Test'!L42</f>
        <v>0.12</v>
      </c>
      <c r="K9">
        <f>'XL-Test'!M42</f>
        <v>4307600</v>
      </c>
      <c r="L9" t="str">
        <f>UPPER(SUBSTITUTE(SUBSTITUTE('XL-Test'!N42,"-","")," ",""))</f>
        <v>CGVAPPS</v>
      </c>
      <c r="M9">
        <f t="shared" si="0"/>
        <v>169</v>
      </c>
      <c r="N9">
        <f t="shared" si="1"/>
        <v>246</v>
      </c>
      <c r="O9">
        <f t="shared" si="2"/>
        <v>231</v>
      </c>
      <c r="P9">
        <f t="shared" si="3"/>
        <v>236</v>
      </c>
      <c r="R9">
        <v>8</v>
      </c>
      <c r="S9" t="str">
        <f ca="1">_xlfn.FORMULATEXT('XL-Test'!L35)</f>
        <v>=IFS(
G35="Reguler",0.02,
G35="Couple",0.08,
G35="VIP",0.12,
TRUE,0
)</v>
      </c>
    </row>
    <row r="10" spans="1:28">
      <c r="B10">
        <v>9</v>
      </c>
      <c r="C10" t="str">
        <f>UPPER('XL-Test'!D43)</f>
        <v>STUDIO 2</v>
      </c>
      <c r="D10">
        <f>'XL-Test'!F43</f>
        <v>115.00000000000007</v>
      </c>
      <c r="E10" t="str">
        <f>'XL-Test'!G43</f>
        <v>Reguler</v>
      </c>
      <c r="F10">
        <f>'XL-Test'!H43</f>
        <v>5</v>
      </c>
      <c r="G10" t="str">
        <f>UPPER('XL-Test'!I43)</f>
        <v>KANAN</v>
      </c>
      <c r="H10">
        <f>'XL-Test'!J43</f>
        <v>45000</v>
      </c>
      <c r="I10">
        <f>'XL-Test'!K43</f>
        <v>87</v>
      </c>
      <c r="J10">
        <f>'XL-Test'!L43</f>
        <v>0.02</v>
      </c>
      <c r="K10">
        <f>'XL-Test'!M43</f>
        <v>3836700</v>
      </c>
      <c r="L10" t="str">
        <f>UPPER(SUBSTITUTE(SUBSTITUTE('XL-Test'!N43,"-","")," ",""))</f>
        <v>TUNAI</v>
      </c>
      <c r="M10">
        <f t="shared" si="0"/>
        <v>170</v>
      </c>
      <c r="N10">
        <f t="shared" si="1"/>
        <v>299</v>
      </c>
      <c r="O10">
        <f t="shared" si="2"/>
        <v>231</v>
      </c>
      <c r="P10">
        <f t="shared" si="3"/>
        <v>235</v>
      </c>
      <c r="R10">
        <v>9</v>
      </c>
      <c r="S10" t="str">
        <f ca="1">_xlfn.FORMULATEXT('XL-Test'!M35)</f>
        <v>=J35*K35-(J35*K35*L35)</v>
      </c>
    </row>
    <row r="11" spans="1:28">
      <c r="B11">
        <v>10</v>
      </c>
      <c r="C11" t="str">
        <f>UPPER('XL-Test'!D44)</f>
        <v>STUDIO 3</v>
      </c>
      <c r="D11">
        <f>'XL-Test'!F44</f>
        <v>135</v>
      </c>
      <c r="E11" t="str">
        <f>'XL-Test'!G44</f>
        <v>Couple</v>
      </c>
      <c r="F11">
        <f>'XL-Test'!H44</f>
        <v>6</v>
      </c>
      <c r="G11" t="str">
        <f>UPPER('XL-Test'!I44)</f>
        <v>KIRI</v>
      </c>
      <c r="H11">
        <f>'XL-Test'!J44</f>
        <v>37000</v>
      </c>
      <c r="I11">
        <f>'XL-Test'!K44</f>
        <v>92</v>
      </c>
      <c r="J11">
        <f>'XL-Test'!L44</f>
        <v>0.08</v>
      </c>
      <c r="K11">
        <f>'XL-Test'!M44</f>
        <v>3131680</v>
      </c>
      <c r="L11" t="str">
        <f>UPPER(SUBSTITUTE(SUBSTITUTE('XL-Test'!N44,"-","")," ",""))</f>
        <v>MTIX</v>
      </c>
      <c r="M11">
        <f t="shared" si="0"/>
        <v>171</v>
      </c>
      <c r="N11">
        <f t="shared" si="1"/>
        <v>285</v>
      </c>
      <c r="O11">
        <f t="shared" si="2"/>
        <v>230</v>
      </c>
      <c r="P11">
        <f t="shared" si="3"/>
        <v>238</v>
      </c>
      <c r="R11">
        <v>10</v>
      </c>
      <c r="S11" t="str">
        <f ca="1">_xlfn.FORMULATEXT('XL-Test'!N35)</f>
        <v>=IF(MID(B35,4,1)="M","M-tix",
 IF(MID(B35,4,1)="C","CGV Apps",
 IF(MID(B35,4,1)="T","Tunai","")))</v>
      </c>
    </row>
    <row r="12" spans="1:28">
      <c r="B12">
        <v>11</v>
      </c>
      <c r="C12" t="str">
        <f>UPPER('XL-Test'!D45)</f>
        <v>STUDIO 4</v>
      </c>
      <c r="D12">
        <f>'XL-Test'!F45</f>
        <v>110.00000000000009</v>
      </c>
      <c r="E12" t="str">
        <f>'XL-Test'!G45</f>
        <v>VIP</v>
      </c>
      <c r="F12">
        <f>'XL-Test'!H45</f>
        <v>6</v>
      </c>
      <c r="G12" t="str">
        <f>UPPER('XL-Test'!I45)</f>
        <v>KIRI</v>
      </c>
      <c r="H12">
        <f>'XL-Test'!J45</f>
        <v>34000</v>
      </c>
      <c r="I12">
        <f>'XL-Test'!K45</f>
        <v>101</v>
      </c>
      <c r="J12">
        <f>'XL-Test'!L45</f>
        <v>0.12</v>
      </c>
      <c r="K12">
        <f>'XL-Test'!M45</f>
        <v>3021920</v>
      </c>
      <c r="L12" t="str">
        <f>UPPER(SUBSTITUTE(SUBSTITUTE('XL-Test'!N45,"-","")," ",""))</f>
        <v>CGVAPPS</v>
      </c>
      <c r="M12">
        <f t="shared" si="0"/>
        <v>172</v>
      </c>
      <c r="N12">
        <f t="shared" si="1"/>
        <v>246</v>
      </c>
      <c r="O12">
        <f t="shared" si="2"/>
        <v>230</v>
      </c>
      <c r="P12">
        <f t="shared" si="3"/>
        <v>236</v>
      </c>
    </row>
    <row r="13" spans="1:28">
      <c r="B13">
        <v>12</v>
      </c>
      <c r="C13" t="str">
        <f>UPPER('XL-Test'!D46)</f>
        <v>STUDIO 1</v>
      </c>
      <c r="D13">
        <f>'XL-Test'!F46</f>
        <v>128.00000000000003</v>
      </c>
      <c r="E13" t="str">
        <f>'XL-Test'!G46</f>
        <v>Reguler</v>
      </c>
      <c r="F13">
        <f>'XL-Test'!H46</f>
        <v>7</v>
      </c>
      <c r="G13" t="str">
        <f>UPPER('XL-Test'!I46)</f>
        <v>KIRI</v>
      </c>
      <c r="H13">
        <f>'XL-Test'!J46</f>
        <v>35000</v>
      </c>
      <c r="I13">
        <f>'XL-Test'!K46</f>
        <v>54</v>
      </c>
      <c r="J13">
        <f>'XL-Test'!L46</f>
        <v>0.02</v>
      </c>
      <c r="K13">
        <f>'XL-Test'!M46</f>
        <v>1852200</v>
      </c>
      <c r="L13" t="str">
        <f>UPPER(SUBSTITUTE(SUBSTITUTE('XL-Test'!N46,"-","")," ",""))</f>
        <v>TUNAI</v>
      </c>
      <c r="M13">
        <f t="shared" si="0"/>
        <v>169</v>
      </c>
      <c r="N13">
        <f t="shared" si="1"/>
        <v>299</v>
      </c>
      <c r="O13">
        <f t="shared" si="2"/>
        <v>230</v>
      </c>
      <c r="P13">
        <f t="shared" si="3"/>
        <v>235</v>
      </c>
    </row>
    <row r="14" spans="1:28">
      <c r="B14">
        <v>13</v>
      </c>
      <c r="C14" t="str">
        <f>UPPER('XL-Test'!D47)</f>
        <v>STUDIO 2</v>
      </c>
      <c r="D14">
        <f>'XL-Test'!F47</f>
        <v>106.0000000000001</v>
      </c>
      <c r="E14" t="str">
        <f>'XL-Test'!G47</f>
        <v>VIP</v>
      </c>
      <c r="F14">
        <f>'XL-Test'!H47</f>
        <v>2</v>
      </c>
      <c r="G14" t="str">
        <f>UPPER('XL-Test'!I47)</f>
        <v>KANAN</v>
      </c>
      <c r="H14">
        <f>'XL-Test'!J47</f>
        <v>45000</v>
      </c>
      <c r="I14">
        <f>'XL-Test'!K47</f>
        <v>55</v>
      </c>
      <c r="J14">
        <f>'XL-Test'!L47</f>
        <v>0.12</v>
      </c>
      <c r="K14">
        <f>'XL-Test'!M47</f>
        <v>2178000</v>
      </c>
      <c r="L14" t="str">
        <f>UPPER(SUBSTITUTE(SUBSTITUTE('XL-Test'!N47,"-","")," ",""))</f>
        <v>MTIX</v>
      </c>
      <c r="M14">
        <f t="shared" si="0"/>
        <v>170</v>
      </c>
      <c r="N14">
        <f t="shared" si="1"/>
        <v>246</v>
      </c>
      <c r="O14">
        <f t="shared" si="2"/>
        <v>231</v>
      </c>
      <c r="P14">
        <f t="shared" si="3"/>
        <v>238</v>
      </c>
    </row>
    <row r="15" spans="1:28">
      <c r="B15">
        <v>14</v>
      </c>
      <c r="C15" t="str">
        <f>UPPER('XL-Test'!D48)</f>
        <v>STUDIO 3</v>
      </c>
      <c r="D15">
        <f>'XL-Test'!F48</f>
        <v>104.99999999999994</v>
      </c>
      <c r="E15" t="str">
        <f>'XL-Test'!G48</f>
        <v>Reguler</v>
      </c>
      <c r="F15">
        <f>'XL-Test'!H48</f>
        <v>8</v>
      </c>
      <c r="G15" t="str">
        <f>UPPER('XL-Test'!I48)</f>
        <v>KIRI</v>
      </c>
      <c r="H15">
        <f>'XL-Test'!J48</f>
        <v>37000</v>
      </c>
      <c r="I15">
        <f>'XL-Test'!K48</f>
        <v>87</v>
      </c>
      <c r="J15">
        <f>'XL-Test'!L48</f>
        <v>0.02</v>
      </c>
      <c r="K15">
        <f>'XL-Test'!M48</f>
        <v>3154620</v>
      </c>
      <c r="L15" t="str">
        <f>UPPER(SUBSTITUTE(SUBSTITUTE('XL-Test'!N48,"-","")," ",""))</f>
        <v>CGVAPPS</v>
      </c>
      <c r="M15">
        <f t="shared" si="0"/>
        <v>171</v>
      </c>
      <c r="N15">
        <f t="shared" si="1"/>
        <v>299</v>
      </c>
      <c r="O15">
        <f t="shared" si="2"/>
        <v>230</v>
      </c>
      <c r="P15">
        <f t="shared" si="3"/>
        <v>236</v>
      </c>
    </row>
    <row r="16" spans="1:28">
      <c r="B16">
        <v>15</v>
      </c>
      <c r="C16" t="str">
        <f>UPPER('XL-Test'!D49)</f>
        <v>STUDIO 4</v>
      </c>
      <c r="D16">
        <f>'XL-Test'!F49</f>
        <v>76.000000000000057</v>
      </c>
      <c r="E16" t="str">
        <f>'XL-Test'!G49</f>
        <v>Couple</v>
      </c>
      <c r="F16">
        <f>'XL-Test'!H49</f>
        <v>2</v>
      </c>
      <c r="G16" t="str">
        <f>UPPER('XL-Test'!I49)</f>
        <v>KANAN</v>
      </c>
      <c r="H16">
        <f>'XL-Test'!J49</f>
        <v>55000</v>
      </c>
      <c r="I16">
        <f>'XL-Test'!K49</f>
        <v>84</v>
      </c>
      <c r="J16">
        <f>'XL-Test'!L49</f>
        <v>0.08</v>
      </c>
      <c r="K16">
        <f>'XL-Test'!M49</f>
        <v>4250400</v>
      </c>
      <c r="L16" t="str">
        <f>UPPER(SUBSTITUTE(SUBSTITUTE('XL-Test'!N49,"-","")," ",""))</f>
        <v>TUNAI</v>
      </c>
      <c r="M16">
        <f t="shared" si="0"/>
        <v>172</v>
      </c>
      <c r="N16">
        <f t="shared" si="1"/>
        <v>285</v>
      </c>
      <c r="O16">
        <f t="shared" si="2"/>
        <v>231</v>
      </c>
      <c r="P16">
        <f t="shared" si="3"/>
        <v>235</v>
      </c>
    </row>
    <row r="17" spans="2:25">
      <c r="U17" t="s">
        <v>117</v>
      </c>
    </row>
    <row r="19" spans="2:25">
      <c r="B19" t="s">
        <v>105</v>
      </c>
      <c r="C19">
        <f>M19</f>
        <v>3583</v>
      </c>
      <c r="D19">
        <f>SUM(D2:D16)+D3+D5+D8+D10+D13+D16</f>
        <v>2013.0000000000005</v>
      </c>
      <c r="E19">
        <f>N19</f>
        <v>5930</v>
      </c>
      <c r="F19">
        <f>SUM(F2:F16)+F3+F5+F8+F10+F13+F16</f>
        <v>97</v>
      </c>
      <c r="G19">
        <f>O19</f>
        <v>4842</v>
      </c>
      <c r="H19">
        <f>SUM(H2:H16)+H3+H5+H8+H10+H13+H16</f>
        <v>871000</v>
      </c>
      <c r="I19">
        <f>SUM(I2:I16)+I3+I5+I8+I10+I13+I16</f>
        <v>1610</v>
      </c>
      <c r="J19">
        <f>(SUM(J2:J16)*100+J3*100+J5*100+J8*100+J10*100+J13*100+J16*100)*123</f>
        <v>15744</v>
      </c>
      <c r="K19">
        <f>SUM(K2:K16)+K3+K5+K8+K10+K13+K16</f>
        <v>62587580</v>
      </c>
      <c r="L19">
        <f>P19</f>
        <v>4962</v>
      </c>
      <c r="M19">
        <f>SUM(M2:M16)+M3+M5+M8+M10+M13+M16</f>
        <v>3583</v>
      </c>
      <c r="N19">
        <f>SUM(N2:N16)+N3+N5+N8+N10+N13+N16</f>
        <v>5930</v>
      </c>
      <c r="O19">
        <f>SUM(O2:O16)+O3+O5+O8+O10+O13+O16</f>
        <v>4842</v>
      </c>
      <c r="P19">
        <f>SUM(P2:P16)+P3+P5+P8+P10+P13+P16</f>
        <v>4962</v>
      </c>
    </row>
    <row r="21" spans="2:25">
      <c r="B21" t="s">
        <v>106</v>
      </c>
      <c r="C21">
        <v>18915</v>
      </c>
      <c r="D21">
        <v>8563</v>
      </c>
      <c r="E21">
        <v>7861</v>
      </c>
      <c r="F21">
        <v>8482</v>
      </c>
      <c r="G21">
        <v>2034</v>
      </c>
      <c r="H21">
        <v>3713</v>
      </c>
      <c r="I21">
        <v>3612</v>
      </c>
      <c r="J21">
        <v>5716</v>
      </c>
      <c r="K21">
        <v>3632</v>
      </c>
      <c r="L21">
        <v>4658</v>
      </c>
      <c r="P21">
        <v>1</v>
      </c>
      <c r="Q21">
        <v>2</v>
      </c>
      <c r="R21">
        <v>3</v>
      </c>
      <c r="S21">
        <v>4</v>
      </c>
      <c r="T21">
        <v>5</v>
      </c>
      <c r="U21">
        <v>6</v>
      </c>
      <c r="V21">
        <v>7</v>
      </c>
      <c r="W21">
        <v>8</v>
      </c>
      <c r="X21">
        <v>9</v>
      </c>
      <c r="Y21">
        <v>10</v>
      </c>
    </row>
    <row r="22" spans="2:25">
      <c r="O22">
        <v>1</v>
      </c>
      <c r="P22">
        <f ca="1">LEN(_xlfn.FORMULATEXT('XL-Test'!D35))</f>
        <v>137</v>
      </c>
      <c r="Q22">
        <f ca="1">LEN(_xlfn.FORMULATEXT('XL-Test'!F35))</f>
        <v>70</v>
      </c>
      <c r="R22">
        <f ca="1">LEN(_xlfn.FORMULATEXT('XL-Test'!G35))</f>
        <v>189</v>
      </c>
      <c r="S22">
        <f ca="1">LEN(_xlfn.FORMULATEXT('XL-Test'!H35))</f>
        <v>94</v>
      </c>
      <c r="T22">
        <f ca="1">LEN(_xlfn.FORMULATEXT('XL-Test'!I35))</f>
        <v>26</v>
      </c>
      <c r="U22">
        <f ca="1">LEN(_xlfn.FORMULATEXT('XL-Test'!J35))</f>
        <v>51</v>
      </c>
      <c r="V22">
        <f ca="1">LEN(_xlfn.FORMULATEXT('XL-Test'!K35))</f>
        <v>433</v>
      </c>
      <c r="W22">
        <f ca="1">LEN(_xlfn.FORMULATEXT('XL-Test'!L35))</f>
        <v>69</v>
      </c>
      <c r="X22">
        <f ca="1">LEN(_xlfn.FORMULATEXT('XL-Test'!M35))</f>
        <v>22</v>
      </c>
      <c r="Y22">
        <f ca="1">LEN(_xlfn.FORMULATEXT('XL-Test'!N35))</f>
        <v>97</v>
      </c>
    </row>
    <row r="23" spans="2:25">
      <c r="B23" t="b">
        <v>1</v>
      </c>
      <c r="C23" t="str">
        <f>DEC2HEX(LEFT(C21+COLUMN(ABC1),2))</f>
        <v>13</v>
      </c>
      <c r="D23" t="str">
        <f t="shared" ref="D23:L23" si="4">DEC2HEX(LEFT(D21+COLUMN(ABD1),2))</f>
        <v>5C</v>
      </c>
      <c r="E23" t="str">
        <f t="shared" si="4"/>
        <v>55</v>
      </c>
      <c r="F23" t="str">
        <f t="shared" si="4"/>
        <v>5C</v>
      </c>
      <c r="G23" t="str">
        <f t="shared" si="4"/>
        <v>1B</v>
      </c>
      <c r="H23" t="str">
        <f t="shared" si="4"/>
        <v>2C</v>
      </c>
      <c r="I23" t="str">
        <f t="shared" si="4"/>
        <v>2B</v>
      </c>
      <c r="J23" t="str">
        <f t="shared" si="4"/>
        <v>40</v>
      </c>
      <c r="K23" t="str">
        <f t="shared" si="4"/>
        <v>2B</v>
      </c>
      <c r="L23" t="str">
        <f t="shared" si="4"/>
        <v>35</v>
      </c>
      <c r="O23">
        <v>2</v>
      </c>
      <c r="P23">
        <f ca="1">LEN(_xlfn.FORMULATEXT('XL-Test'!D36))</f>
        <v>137</v>
      </c>
      <c r="Q23">
        <f ca="1">LEN(_xlfn.FORMULATEXT('XL-Test'!F36))</f>
        <v>70</v>
      </c>
      <c r="R23">
        <f ca="1">LEN(_xlfn.FORMULATEXT('XL-Test'!G36))</f>
        <v>189</v>
      </c>
      <c r="S23">
        <f ca="1">LEN(_xlfn.FORMULATEXT('XL-Test'!H36))</f>
        <v>94</v>
      </c>
      <c r="T23">
        <f ca="1">LEN(_xlfn.FORMULATEXT('XL-Test'!I36))</f>
        <v>26</v>
      </c>
      <c r="U23">
        <f ca="1">LEN(_xlfn.FORMULATEXT('XL-Test'!J36))</f>
        <v>51</v>
      </c>
      <c r="V23">
        <f ca="1">LEN(_xlfn.FORMULATEXT('XL-Test'!K36))</f>
        <v>433</v>
      </c>
      <c r="W23">
        <f ca="1">LEN(_xlfn.FORMULATEXT('XL-Test'!L36))</f>
        <v>69</v>
      </c>
      <c r="X23">
        <f ca="1">LEN(_xlfn.FORMULATEXT('XL-Test'!M36))</f>
        <v>22</v>
      </c>
      <c r="Y23">
        <f ca="1">LEN(_xlfn.FORMULATEXT('XL-Test'!N36))</f>
        <v>97</v>
      </c>
    </row>
    <row r="24" spans="2:25">
      <c r="B24" t="b">
        <v>0</v>
      </c>
      <c r="C24" t="str">
        <f>DEC2HEX(RIGHT(C21+COLUMN(ABC1),2))</f>
        <v>2E</v>
      </c>
      <c r="D24" t="str">
        <f t="shared" ref="D24:L24" si="5">DEC2HEX(RIGHT(D21+COLUMN(ABD1),2))</f>
        <v>5F</v>
      </c>
      <c r="E24" t="str">
        <f t="shared" si="5"/>
        <v>5E</v>
      </c>
      <c r="F24" t="str">
        <f t="shared" si="5"/>
        <v>10</v>
      </c>
      <c r="G24" t="str">
        <f t="shared" si="5"/>
        <v>45</v>
      </c>
      <c r="H24" t="str">
        <f t="shared" si="5"/>
        <v>31</v>
      </c>
      <c r="I24" t="str">
        <f t="shared" si="5"/>
        <v>31</v>
      </c>
      <c r="J24" t="str">
        <f t="shared" si="5"/>
        <v>36</v>
      </c>
      <c r="K24" t="str">
        <f t="shared" si="5"/>
        <v>47</v>
      </c>
      <c r="L24" t="str">
        <f t="shared" si="5"/>
        <v>62</v>
      </c>
      <c r="O24">
        <v>3</v>
      </c>
      <c r="P24">
        <f ca="1">LEN(_xlfn.FORMULATEXT('XL-Test'!D37))</f>
        <v>137</v>
      </c>
      <c r="Q24">
        <f ca="1">LEN(_xlfn.FORMULATEXT('XL-Test'!F37))</f>
        <v>70</v>
      </c>
      <c r="R24">
        <f ca="1">LEN(_xlfn.FORMULATEXT('XL-Test'!G37))</f>
        <v>189</v>
      </c>
      <c r="S24">
        <f ca="1">LEN(_xlfn.FORMULATEXT('XL-Test'!H37))</f>
        <v>94</v>
      </c>
      <c r="T24">
        <f ca="1">LEN(_xlfn.FORMULATEXT('XL-Test'!I37))</f>
        <v>26</v>
      </c>
      <c r="U24">
        <f ca="1">LEN(_xlfn.FORMULATEXT('XL-Test'!J37))</f>
        <v>51</v>
      </c>
      <c r="V24">
        <f ca="1">LEN(_xlfn.FORMULATEXT('XL-Test'!K37))</f>
        <v>433</v>
      </c>
      <c r="W24">
        <f ca="1">LEN(_xlfn.FORMULATEXT('XL-Test'!L37))</f>
        <v>69</v>
      </c>
      <c r="X24">
        <f ca="1">LEN(_xlfn.FORMULATEXT('XL-Test'!M37))</f>
        <v>22</v>
      </c>
      <c r="Y24">
        <f ca="1">LEN(_xlfn.FORMULATEXT('XL-Test'!N37))</f>
        <v>97</v>
      </c>
    </row>
    <row r="25" spans="2:25">
      <c r="O25">
        <v>4</v>
      </c>
      <c r="P25">
        <f ca="1">LEN(_xlfn.FORMULATEXT('XL-Test'!D38))</f>
        <v>137</v>
      </c>
      <c r="Q25">
        <f ca="1">LEN(_xlfn.FORMULATEXT('XL-Test'!F38))</f>
        <v>70</v>
      </c>
      <c r="R25">
        <f ca="1">LEN(_xlfn.FORMULATEXT('XL-Test'!G38))</f>
        <v>189</v>
      </c>
      <c r="S25">
        <f ca="1">LEN(_xlfn.FORMULATEXT('XL-Test'!H38))</f>
        <v>94</v>
      </c>
      <c r="T25">
        <f ca="1">LEN(_xlfn.FORMULATEXT('XL-Test'!I38))</f>
        <v>26</v>
      </c>
      <c r="U25">
        <f ca="1">LEN(_xlfn.FORMULATEXT('XL-Test'!J38))</f>
        <v>51</v>
      </c>
      <c r="V25">
        <f ca="1">LEN(_xlfn.FORMULATEXT('XL-Test'!K38))</f>
        <v>433</v>
      </c>
      <c r="W25">
        <f ca="1">LEN(_xlfn.FORMULATEXT('XL-Test'!L38))</f>
        <v>69</v>
      </c>
      <c r="X25">
        <f ca="1">LEN(_xlfn.FORMULATEXT('XL-Test'!M38))</f>
        <v>22</v>
      </c>
      <c r="Y25">
        <f ca="1">LEN(_xlfn.FORMULATEXT('XL-Test'!N38))</f>
        <v>97</v>
      </c>
    </row>
    <row r="26" spans="2:25">
      <c r="B26" t="s">
        <v>107</v>
      </c>
      <c r="C26" t="b">
        <f>NOT(OR(C2="",C2=0))</f>
        <v>1</v>
      </c>
      <c r="D26" t="b">
        <f t="shared" ref="D26:L26" si="6">NOT(OR(D2="",D2=0))</f>
        <v>1</v>
      </c>
      <c r="E26" t="b">
        <f t="shared" si="6"/>
        <v>1</v>
      </c>
      <c r="F26" t="b">
        <f t="shared" si="6"/>
        <v>1</v>
      </c>
      <c r="G26" t="b">
        <f t="shared" si="6"/>
        <v>1</v>
      </c>
      <c r="H26" t="b">
        <f t="shared" si="6"/>
        <v>1</v>
      </c>
      <c r="I26" t="b">
        <f t="shared" si="6"/>
        <v>1</v>
      </c>
      <c r="J26" t="b">
        <f t="shared" si="6"/>
        <v>1</v>
      </c>
      <c r="K26" t="b">
        <f t="shared" si="6"/>
        <v>1</v>
      </c>
      <c r="L26" t="b">
        <f t="shared" si="6"/>
        <v>1</v>
      </c>
      <c r="O26">
        <v>5</v>
      </c>
      <c r="P26">
        <f ca="1">LEN(_xlfn.FORMULATEXT('XL-Test'!D39))</f>
        <v>137</v>
      </c>
      <c r="Q26">
        <f ca="1">LEN(_xlfn.FORMULATEXT('XL-Test'!F39))</f>
        <v>70</v>
      </c>
      <c r="R26">
        <f ca="1">LEN(_xlfn.FORMULATEXT('XL-Test'!G39))</f>
        <v>189</v>
      </c>
      <c r="S26">
        <f ca="1">LEN(_xlfn.FORMULATEXT('XL-Test'!H39))</f>
        <v>94</v>
      </c>
      <c r="T26">
        <f ca="1">LEN(_xlfn.FORMULATEXT('XL-Test'!I39))</f>
        <v>26</v>
      </c>
      <c r="U26">
        <f ca="1">LEN(_xlfn.FORMULATEXT('XL-Test'!J39))</f>
        <v>51</v>
      </c>
      <c r="V26">
        <f ca="1">LEN(_xlfn.FORMULATEXT('XL-Test'!K39))</f>
        <v>433</v>
      </c>
      <c r="W26">
        <f ca="1">LEN(_xlfn.FORMULATEXT('XL-Test'!L39))</f>
        <v>69</v>
      </c>
      <c r="X26">
        <f ca="1">LEN(_xlfn.FORMULATEXT('XL-Test'!M39))</f>
        <v>22</v>
      </c>
      <c r="Y26">
        <f ca="1">LEN(_xlfn.FORMULATEXT('XL-Test'!N39))</f>
        <v>97</v>
      </c>
    </row>
    <row r="27" spans="2:25">
      <c r="B27" t="s">
        <v>108</v>
      </c>
      <c r="C27" t="b">
        <f ca="1">AND(ISNUMBER(FIND("=",S2)),ISNUMBER(FIND("(",S2)))</f>
        <v>1</v>
      </c>
      <c r="D27" t="b">
        <f t="shared" ref="D27:L27" ca="1" si="7">AND(ISNUMBER(FIND("=",T2)),ISNUMBER(FIND("(",T2)))</f>
        <v>1</v>
      </c>
      <c r="E27" t="b">
        <f t="shared" ca="1" si="7"/>
        <v>1</v>
      </c>
      <c r="F27" t="b">
        <f t="shared" ca="1" si="7"/>
        <v>1</v>
      </c>
      <c r="G27" t="b">
        <f t="shared" ca="1" si="7"/>
        <v>1</v>
      </c>
      <c r="H27" t="b">
        <f t="shared" ca="1" si="7"/>
        <v>1</v>
      </c>
      <c r="I27" t="b">
        <f t="shared" ca="1" si="7"/>
        <v>1</v>
      </c>
      <c r="J27" t="b">
        <f t="shared" ca="1" si="7"/>
        <v>1</v>
      </c>
      <c r="K27" t="b">
        <f ca="1">AND(ISNUMBER(FIND("=",AA2)))</f>
        <v>1</v>
      </c>
      <c r="L27" t="b">
        <f t="shared" ca="1" si="7"/>
        <v>1</v>
      </c>
      <c r="O27">
        <v>6</v>
      </c>
      <c r="P27">
        <f ca="1">LEN(_xlfn.FORMULATEXT('XL-Test'!D40))</f>
        <v>137</v>
      </c>
      <c r="Q27">
        <f ca="1">LEN(_xlfn.FORMULATEXT('XL-Test'!F40))</f>
        <v>70</v>
      </c>
      <c r="R27">
        <f ca="1">LEN(_xlfn.FORMULATEXT('XL-Test'!G40))</f>
        <v>189</v>
      </c>
      <c r="S27">
        <f ca="1">LEN(_xlfn.FORMULATEXT('XL-Test'!H40))</f>
        <v>94</v>
      </c>
      <c r="T27">
        <f ca="1">LEN(_xlfn.FORMULATEXT('XL-Test'!I40))</f>
        <v>26</v>
      </c>
      <c r="U27">
        <f ca="1">LEN(_xlfn.FORMULATEXT('XL-Test'!J40))</f>
        <v>51</v>
      </c>
      <c r="V27">
        <f ca="1">LEN(_xlfn.FORMULATEXT('XL-Test'!K40))</f>
        <v>433</v>
      </c>
      <c r="W27">
        <f ca="1">LEN(_xlfn.FORMULATEXT('XL-Test'!L40))</f>
        <v>69</v>
      </c>
      <c r="X27">
        <f ca="1">LEN(_xlfn.FORMULATEXT('XL-Test'!M40))</f>
        <v>22</v>
      </c>
      <c r="Y27">
        <f ca="1">LEN(_xlfn.FORMULATEXT('XL-Test'!N40))</f>
        <v>97</v>
      </c>
    </row>
    <row r="28" spans="2:25">
      <c r="B28" t="s">
        <v>109</v>
      </c>
      <c r="C28" t="b">
        <f t="shared" ref="C28:L28" ca="1" si="8">IFERROR(OR(P38,P40),FALSE)</f>
        <v>1</v>
      </c>
      <c r="D28" t="b">
        <f t="shared" ca="1" si="8"/>
        <v>1</v>
      </c>
      <c r="E28" t="b">
        <f t="shared" ca="1" si="8"/>
        <v>1</v>
      </c>
      <c r="F28" t="b">
        <f t="shared" ca="1" si="8"/>
        <v>1</v>
      </c>
      <c r="G28" t="b">
        <f t="shared" ca="1" si="8"/>
        <v>1</v>
      </c>
      <c r="H28" t="b">
        <f t="shared" ca="1" si="8"/>
        <v>1</v>
      </c>
      <c r="I28" t="b">
        <f t="shared" ca="1" si="8"/>
        <v>1</v>
      </c>
      <c r="J28" t="b">
        <f t="shared" ca="1" si="8"/>
        <v>1</v>
      </c>
      <c r="K28" t="b">
        <f t="shared" ca="1" si="8"/>
        <v>1</v>
      </c>
      <c r="L28" t="b">
        <f t="shared" ca="1" si="8"/>
        <v>1</v>
      </c>
      <c r="O28">
        <v>7</v>
      </c>
      <c r="P28">
        <f ca="1">LEN(_xlfn.FORMULATEXT('XL-Test'!D41))</f>
        <v>137</v>
      </c>
      <c r="Q28">
        <f ca="1">LEN(_xlfn.FORMULATEXT('XL-Test'!F41))</f>
        <v>70</v>
      </c>
      <c r="R28">
        <f ca="1">LEN(_xlfn.FORMULATEXT('XL-Test'!G41))</f>
        <v>189</v>
      </c>
      <c r="S28">
        <f ca="1">LEN(_xlfn.FORMULATEXT('XL-Test'!H41))</f>
        <v>94</v>
      </c>
      <c r="T28">
        <f ca="1">LEN(_xlfn.FORMULATEXT('XL-Test'!I41))</f>
        <v>26</v>
      </c>
      <c r="U28">
        <f ca="1">LEN(_xlfn.FORMULATEXT('XL-Test'!J41))</f>
        <v>51</v>
      </c>
      <c r="V28">
        <f ca="1">LEN(_xlfn.FORMULATEXT('XL-Test'!K41))</f>
        <v>433</v>
      </c>
      <c r="W28">
        <f ca="1">LEN(_xlfn.FORMULATEXT('XL-Test'!L41))</f>
        <v>69</v>
      </c>
      <c r="X28">
        <f ca="1">LEN(_xlfn.FORMULATEXT('XL-Test'!M41))</f>
        <v>22</v>
      </c>
      <c r="Y28">
        <f ca="1">LEN(_xlfn.FORMULATEXT('XL-Test'!N41))</f>
        <v>97</v>
      </c>
    </row>
    <row r="29" spans="2:25">
      <c r="O29">
        <v>8</v>
      </c>
      <c r="P29">
        <f ca="1">LEN(_xlfn.FORMULATEXT('XL-Test'!D42))</f>
        <v>137</v>
      </c>
      <c r="Q29">
        <f ca="1">LEN(_xlfn.FORMULATEXT('XL-Test'!F42))</f>
        <v>70</v>
      </c>
      <c r="R29">
        <f ca="1">LEN(_xlfn.FORMULATEXT('XL-Test'!G42))</f>
        <v>189</v>
      </c>
      <c r="S29">
        <f ca="1">LEN(_xlfn.FORMULATEXT('XL-Test'!H42))</f>
        <v>94</v>
      </c>
      <c r="T29">
        <f ca="1">LEN(_xlfn.FORMULATEXT('XL-Test'!I42))</f>
        <v>26</v>
      </c>
      <c r="U29">
        <f ca="1">LEN(_xlfn.FORMULATEXT('XL-Test'!J42))</f>
        <v>51</v>
      </c>
      <c r="V29">
        <f ca="1">LEN(_xlfn.FORMULATEXT('XL-Test'!K42))</f>
        <v>433</v>
      </c>
      <c r="W29">
        <f ca="1">LEN(_xlfn.FORMULATEXT('XL-Test'!L42))</f>
        <v>69</v>
      </c>
      <c r="X29">
        <f ca="1">LEN(_xlfn.FORMULATEXT('XL-Test'!M42))</f>
        <v>22</v>
      </c>
      <c r="Y29">
        <f ca="1">LEN(_xlfn.FORMULATEXT('XL-Test'!N42))</f>
        <v>97</v>
      </c>
    </row>
    <row r="30" spans="2:25">
      <c r="B30" t="s">
        <v>112</v>
      </c>
      <c r="C30" t="b">
        <f ca="1">ISNUMBER(FIND("MID",S2))</f>
        <v>0</v>
      </c>
      <c r="D30" t="b">
        <f ca="1">OR(ISNUMBER(FIND("IMAGI",T2)),ISNUMBER(FIND("TIMEV",T2)))</f>
        <v>1</v>
      </c>
      <c r="E30" t="b">
        <f ca="1">AND(ISNUMBER(FIND("HLO",U2)),ISNUMBER(FIND("MID",U2)))</f>
        <v>0</v>
      </c>
      <c r="F30" t="b">
        <f ca="1">AND(ISNUMBER(FIND("COD",V2)),ISNUMBER(FIND("MID",V2)))</f>
        <v>0</v>
      </c>
      <c r="G30" t="b">
        <f ca="1">AND(ISNUMBER(FIND("IF",W2)),ISNUMBER(FIND("MID",W2)))</f>
        <v>0</v>
      </c>
      <c r="H30" t="b">
        <f ca="1">AND(ISNUMBER(FIND("LOOK",X2)),ISNUMBER(FIND("LEF",X2)))</f>
        <v>1</v>
      </c>
      <c r="I30" t="b">
        <f ca="1">AND(ISNUMBER(FIND("ARAB",Y2)),ISNUMBER(FIND("MID",Y2)))</f>
        <v>0</v>
      </c>
      <c r="J30" t="b">
        <f ca="1">AND(ISNUMBER(FIND("HLO",Z2)),ISNUMBER(FIND("MID",Z2)))</f>
        <v>0</v>
      </c>
      <c r="K30" t="b">
        <f ca="1">AND(ISNUMBER(FIND("*",AA2)),ISNUMBER(FIND("-",AA2)))</f>
        <v>1</v>
      </c>
      <c r="L30" t="b">
        <f ca="1">OR(AND(ISNUMBER(FIND("IF",AB2)),ISNUMBER(FIND("MID",AB2))),AND(ISNUMBER(FIND("SW",AB2)),ISNUMBER(FIND("MID",AB2))))</f>
        <v>1</v>
      </c>
      <c r="O30">
        <v>9</v>
      </c>
      <c r="P30">
        <f ca="1">LEN(_xlfn.FORMULATEXT('XL-Test'!D43))</f>
        <v>137</v>
      </c>
      <c r="Q30">
        <f ca="1">LEN(_xlfn.FORMULATEXT('XL-Test'!F43))</f>
        <v>70</v>
      </c>
      <c r="R30">
        <f ca="1">LEN(_xlfn.FORMULATEXT('XL-Test'!G43))</f>
        <v>189</v>
      </c>
      <c r="S30">
        <f ca="1">LEN(_xlfn.FORMULATEXT('XL-Test'!H43))</f>
        <v>94</v>
      </c>
      <c r="T30">
        <f ca="1">LEN(_xlfn.FORMULATEXT('XL-Test'!I43))</f>
        <v>26</v>
      </c>
      <c r="U30">
        <f ca="1">LEN(_xlfn.FORMULATEXT('XL-Test'!J43))</f>
        <v>51</v>
      </c>
      <c r="V30">
        <f ca="1">LEN(_xlfn.FORMULATEXT('XL-Test'!K43))</f>
        <v>433</v>
      </c>
      <c r="W30">
        <f ca="1">LEN(_xlfn.FORMULATEXT('XL-Test'!L43))</f>
        <v>69</v>
      </c>
      <c r="X30">
        <f ca="1">LEN(_xlfn.FORMULATEXT('XL-Test'!M43))</f>
        <v>22</v>
      </c>
      <c r="Y30">
        <f ca="1">LEN(_xlfn.FORMULATEXT('XL-Test'!N43))</f>
        <v>97</v>
      </c>
    </row>
    <row r="31" spans="2:25">
      <c r="B31" t="s">
        <v>113</v>
      </c>
      <c r="C31">
        <f ca="1">IFERROR(LEN(S2)-LEN(SUBSTITUTE(S2,"(","")),99)</f>
        <v>8</v>
      </c>
      <c r="D31">
        <f t="shared" ref="D31:L31" ca="1" si="9">IFERROR(LEN(T2)-LEN(SUBSTITUTE(T2,"(","")),99)</f>
        <v>6</v>
      </c>
      <c r="E31">
        <f t="shared" ca="1" si="9"/>
        <v>12</v>
      </c>
      <c r="F31">
        <f t="shared" ca="1" si="9"/>
        <v>7</v>
      </c>
      <c r="G31">
        <f t="shared" ca="1" si="9"/>
        <v>1</v>
      </c>
      <c r="H31">
        <f t="shared" ca="1" si="9"/>
        <v>3</v>
      </c>
      <c r="I31">
        <f t="shared" ca="1" si="9"/>
        <v>32</v>
      </c>
      <c r="J31">
        <f t="shared" ca="1" si="9"/>
        <v>1</v>
      </c>
      <c r="K31">
        <f t="shared" ca="1" si="9"/>
        <v>1</v>
      </c>
      <c r="L31">
        <f t="shared" ca="1" si="9"/>
        <v>6</v>
      </c>
      <c r="O31">
        <v>10</v>
      </c>
      <c r="P31">
        <f ca="1">LEN(_xlfn.FORMULATEXT('XL-Test'!D44))</f>
        <v>137</v>
      </c>
      <c r="Q31">
        <f ca="1">LEN(_xlfn.FORMULATEXT('XL-Test'!F44))</f>
        <v>70</v>
      </c>
      <c r="R31">
        <f ca="1">LEN(_xlfn.FORMULATEXT('XL-Test'!G44))</f>
        <v>189</v>
      </c>
      <c r="S31">
        <f ca="1">LEN(_xlfn.FORMULATEXT('XL-Test'!H44))</f>
        <v>94</v>
      </c>
      <c r="T31">
        <f ca="1">LEN(_xlfn.FORMULATEXT('XL-Test'!I44))</f>
        <v>26</v>
      </c>
      <c r="U31">
        <f ca="1">LEN(_xlfn.FORMULATEXT('XL-Test'!J44))</f>
        <v>51</v>
      </c>
      <c r="V31">
        <f ca="1">LEN(_xlfn.FORMULATEXT('XL-Test'!K44))</f>
        <v>433</v>
      </c>
      <c r="W31">
        <f ca="1">LEN(_xlfn.FORMULATEXT('XL-Test'!L44))</f>
        <v>69</v>
      </c>
      <c r="X31">
        <f ca="1">LEN(_xlfn.FORMULATEXT('XL-Test'!M44))</f>
        <v>22</v>
      </c>
      <c r="Y31">
        <f ca="1">LEN(_xlfn.FORMULATEXT('XL-Test'!N44))</f>
        <v>97</v>
      </c>
    </row>
    <row r="32" spans="2:25">
      <c r="C32">
        <v>1</v>
      </c>
      <c r="D32">
        <v>3</v>
      </c>
      <c r="E32">
        <v>2</v>
      </c>
      <c r="F32">
        <v>4</v>
      </c>
      <c r="G32">
        <v>2</v>
      </c>
      <c r="H32">
        <v>3</v>
      </c>
      <c r="I32">
        <v>2</v>
      </c>
      <c r="J32">
        <v>2</v>
      </c>
      <c r="K32">
        <v>1</v>
      </c>
      <c r="L32">
        <v>4</v>
      </c>
      <c r="O32">
        <v>11</v>
      </c>
      <c r="P32">
        <f ca="1">LEN(_xlfn.FORMULATEXT('XL-Test'!D45))</f>
        <v>137</v>
      </c>
      <c r="Q32">
        <f ca="1">LEN(_xlfn.FORMULATEXT('XL-Test'!F45))</f>
        <v>70</v>
      </c>
      <c r="R32">
        <f ca="1">LEN(_xlfn.FORMULATEXT('XL-Test'!G45))</f>
        <v>189</v>
      </c>
      <c r="S32">
        <f ca="1">LEN(_xlfn.FORMULATEXT('XL-Test'!H45))</f>
        <v>94</v>
      </c>
      <c r="T32">
        <f ca="1">LEN(_xlfn.FORMULATEXT('XL-Test'!I45))</f>
        <v>26</v>
      </c>
      <c r="U32">
        <f ca="1">LEN(_xlfn.FORMULATEXT('XL-Test'!J45))</f>
        <v>51</v>
      </c>
      <c r="V32">
        <f ca="1">LEN(_xlfn.FORMULATEXT('XL-Test'!K45))</f>
        <v>433</v>
      </c>
      <c r="W32">
        <f ca="1">LEN(_xlfn.FORMULATEXT('XL-Test'!L45))</f>
        <v>69</v>
      </c>
      <c r="X32">
        <f ca="1">LEN(_xlfn.FORMULATEXT('XL-Test'!M45))</f>
        <v>22</v>
      </c>
      <c r="Y32">
        <f ca="1">LEN(_xlfn.FORMULATEXT('XL-Test'!N45))</f>
        <v>97</v>
      </c>
    </row>
    <row r="33" spans="2:25">
      <c r="C33" t="b">
        <f ca="1">C31&lt;=C32</f>
        <v>0</v>
      </c>
      <c r="D33" t="b">
        <f t="shared" ref="D33:L33" ca="1" si="10">D31&lt;=D32</f>
        <v>0</v>
      </c>
      <c r="E33" t="b">
        <f t="shared" ca="1" si="10"/>
        <v>0</v>
      </c>
      <c r="F33" t="b">
        <f t="shared" ca="1" si="10"/>
        <v>0</v>
      </c>
      <c r="G33" t="b">
        <f t="shared" ca="1" si="10"/>
        <v>1</v>
      </c>
      <c r="H33" t="b">
        <f t="shared" ca="1" si="10"/>
        <v>1</v>
      </c>
      <c r="I33" t="b">
        <f t="shared" ca="1" si="10"/>
        <v>0</v>
      </c>
      <c r="J33" t="b">
        <f t="shared" ca="1" si="10"/>
        <v>1</v>
      </c>
      <c r="K33" t="b">
        <f t="shared" ca="1" si="10"/>
        <v>1</v>
      </c>
      <c r="L33" t="b">
        <f t="shared" ca="1" si="10"/>
        <v>0</v>
      </c>
      <c r="O33">
        <v>12</v>
      </c>
      <c r="P33">
        <f ca="1">LEN(_xlfn.FORMULATEXT('XL-Test'!D46))</f>
        <v>137</v>
      </c>
      <c r="Q33">
        <f ca="1">LEN(_xlfn.FORMULATEXT('XL-Test'!F46))</f>
        <v>70</v>
      </c>
      <c r="R33">
        <f ca="1">LEN(_xlfn.FORMULATEXT('XL-Test'!G46))</f>
        <v>189</v>
      </c>
      <c r="S33">
        <f ca="1">LEN(_xlfn.FORMULATEXT('XL-Test'!H46))</f>
        <v>94</v>
      </c>
      <c r="T33">
        <f ca="1">LEN(_xlfn.FORMULATEXT('XL-Test'!I46))</f>
        <v>26</v>
      </c>
      <c r="U33">
        <f ca="1">LEN(_xlfn.FORMULATEXT('XL-Test'!J46))</f>
        <v>51</v>
      </c>
      <c r="V33">
        <f ca="1">LEN(_xlfn.FORMULATEXT('XL-Test'!K46))</f>
        <v>433</v>
      </c>
      <c r="W33">
        <f ca="1">LEN(_xlfn.FORMULATEXT('XL-Test'!L46))</f>
        <v>69</v>
      </c>
      <c r="X33">
        <f ca="1">LEN(_xlfn.FORMULATEXT('XL-Test'!M46))</f>
        <v>22</v>
      </c>
      <c r="Y33">
        <f ca="1">LEN(_xlfn.FORMULATEXT('XL-Test'!N46))</f>
        <v>97</v>
      </c>
    </row>
    <row r="34" spans="2:25">
      <c r="O34">
        <v>13</v>
      </c>
      <c r="P34">
        <f ca="1">LEN(_xlfn.FORMULATEXT('XL-Test'!D47))</f>
        <v>137</v>
      </c>
      <c r="Q34">
        <f ca="1">LEN(_xlfn.FORMULATEXT('XL-Test'!F47))</f>
        <v>70</v>
      </c>
      <c r="R34">
        <f ca="1">LEN(_xlfn.FORMULATEXT('XL-Test'!G47))</f>
        <v>189</v>
      </c>
      <c r="S34">
        <f ca="1">LEN(_xlfn.FORMULATEXT('XL-Test'!H47))</f>
        <v>94</v>
      </c>
      <c r="T34">
        <f ca="1">LEN(_xlfn.FORMULATEXT('XL-Test'!I47))</f>
        <v>26</v>
      </c>
      <c r="U34">
        <f ca="1">LEN(_xlfn.FORMULATEXT('XL-Test'!J47))</f>
        <v>51</v>
      </c>
      <c r="V34">
        <f ca="1">LEN(_xlfn.FORMULATEXT('XL-Test'!K47))</f>
        <v>433</v>
      </c>
      <c r="W34">
        <f ca="1">LEN(_xlfn.FORMULATEXT('XL-Test'!L47))</f>
        <v>69</v>
      </c>
      <c r="X34">
        <f ca="1">LEN(_xlfn.FORMULATEXT('XL-Test'!M47))</f>
        <v>22</v>
      </c>
      <c r="Y34">
        <f ca="1">LEN(_xlfn.FORMULATEXT('XL-Test'!N47))</f>
        <v>97</v>
      </c>
    </row>
    <row r="35" spans="2:25">
      <c r="B35" t="s">
        <v>114</v>
      </c>
      <c r="C35" t="str">
        <f ca="1">IFERROR(DEC2HEX(IF(AND(C26:C28),C19,C21)),"EEE")</f>
        <v>DFF</v>
      </c>
      <c r="D35" t="str">
        <f t="shared" ref="D35:L35" ca="1" si="11">IFERROR(DEC2HEX(IF(AND(D26:D28),D19,D21)),"EEE")</f>
        <v>7DD</v>
      </c>
      <c r="E35" t="str">
        <f t="shared" ca="1" si="11"/>
        <v>172A</v>
      </c>
      <c r="F35" t="str">
        <f t="shared" ca="1" si="11"/>
        <v>61</v>
      </c>
      <c r="G35" t="str">
        <f t="shared" ca="1" si="11"/>
        <v>12EA</v>
      </c>
      <c r="H35" t="str">
        <f t="shared" ca="1" si="11"/>
        <v>D4A58</v>
      </c>
      <c r="I35" t="str">
        <f t="shared" ca="1" si="11"/>
        <v>64A</v>
      </c>
      <c r="J35" t="str">
        <f t="shared" ca="1" si="11"/>
        <v>3D80</v>
      </c>
      <c r="K35" t="str">
        <f t="shared" ca="1" si="11"/>
        <v>3BB02BC</v>
      </c>
      <c r="L35" t="str">
        <f t="shared" ca="1" si="11"/>
        <v>1362</v>
      </c>
      <c r="O35">
        <v>14</v>
      </c>
      <c r="P35">
        <f ca="1">LEN(_xlfn.FORMULATEXT('XL-Test'!D48))</f>
        <v>137</v>
      </c>
      <c r="Q35">
        <f ca="1">LEN(_xlfn.FORMULATEXT('XL-Test'!F48))</f>
        <v>70</v>
      </c>
      <c r="R35">
        <f ca="1">LEN(_xlfn.FORMULATEXT('XL-Test'!G48))</f>
        <v>189</v>
      </c>
      <c r="S35">
        <f ca="1">LEN(_xlfn.FORMULATEXT('XL-Test'!H48))</f>
        <v>94</v>
      </c>
      <c r="T35">
        <f ca="1">LEN(_xlfn.FORMULATEXT('XL-Test'!I48))</f>
        <v>26</v>
      </c>
      <c r="U35">
        <f ca="1">LEN(_xlfn.FORMULATEXT('XL-Test'!J48))</f>
        <v>51</v>
      </c>
      <c r="V35">
        <f ca="1">LEN(_xlfn.FORMULATEXT('XL-Test'!K48))</f>
        <v>433</v>
      </c>
      <c r="W35">
        <f ca="1">LEN(_xlfn.FORMULATEXT('XL-Test'!L48))</f>
        <v>69</v>
      </c>
      <c r="X35">
        <f ca="1">LEN(_xlfn.FORMULATEXT('XL-Test'!M48))</f>
        <v>22</v>
      </c>
      <c r="Y35">
        <f ca="1">LEN(_xlfn.FORMULATEXT('XL-Test'!N48))</f>
        <v>97</v>
      </c>
    </row>
    <row r="36" spans="2:25">
      <c r="B36" t="s">
        <v>115</v>
      </c>
      <c r="C36" t="str">
        <f ca="1">IF(AND(C33,C30),C23,C24)</f>
        <v>2E</v>
      </c>
      <c r="D36" t="str">
        <f t="shared" ref="D36:K36" ca="1" si="12">IF(AND(D33,D30),D23,D24)</f>
        <v>5F</v>
      </c>
      <c r="E36" t="str">
        <f t="shared" ca="1" si="12"/>
        <v>5E</v>
      </c>
      <c r="F36" t="str">
        <f t="shared" ca="1" si="12"/>
        <v>10</v>
      </c>
      <c r="G36" t="str">
        <f t="shared" ca="1" si="12"/>
        <v>45</v>
      </c>
      <c r="H36" t="str">
        <f t="shared" ca="1" si="12"/>
        <v>2C</v>
      </c>
      <c r="I36" t="str">
        <f t="shared" ca="1" si="12"/>
        <v>31</v>
      </c>
      <c r="J36" t="str">
        <f t="shared" ca="1" si="12"/>
        <v>36</v>
      </c>
      <c r="K36" t="str">
        <f t="shared" ca="1" si="12"/>
        <v>2B</v>
      </c>
      <c r="L36" t="str">
        <f ca="1">IF(AND(L33,L30),L23,L24)</f>
        <v>62</v>
      </c>
      <c r="O36">
        <v>15</v>
      </c>
      <c r="P36">
        <f ca="1">LEN(_xlfn.FORMULATEXT('XL-Test'!D49))</f>
        <v>137</v>
      </c>
      <c r="Q36">
        <f ca="1">LEN(_xlfn.FORMULATEXT('XL-Test'!F49))</f>
        <v>70</v>
      </c>
      <c r="R36">
        <f ca="1">LEN(_xlfn.FORMULATEXT('XL-Test'!G49))</f>
        <v>189</v>
      </c>
      <c r="S36">
        <f ca="1">LEN(_xlfn.FORMULATEXT('XL-Test'!H49))</f>
        <v>94</v>
      </c>
      <c r="T36">
        <f ca="1">LEN(_xlfn.FORMULATEXT('XL-Test'!I49))</f>
        <v>26</v>
      </c>
      <c r="U36">
        <f ca="1">LEN(_xlfn.FORMULATEXT('XL-Test'!J49))</f>
        <v>51</v>
      </c>
      <c r="V36">
        <f ca="1">LEN(_xlfn.FORMULATEXT('XL-Test'!K49))</f>
        <v>433</v>
      </c>
      <c r="W36">
        <f ca="1">LEN(_xlfn.FORMULATEXT('XL-Test'!L49))</f>
        <v>69</v>
      </c>
      <c r="X36">
        <f ca="1">LEN(_xlfn.FORMULATEXT('XL-Test'!M49))</f>
        <v>22</v>
      </c>
      <c r="Y36">
        <f ca="1">LEN(_xlfn.FORMULATEXT('XL-Test'!N49))</f>
        <v>97</v>
      </c>
    </row>
    <row r="38" spans="2:25">
      <c r="C38" t="str">
        <f ca="1">C36&amp;"-"&amp;C35&amp;";"</f>
        <v>2E-DFF;</v>
      </c>
      <c r="D38" t="str">
        <f t="shared" ref="D38:K38" ca="1" si="13">D36&amp;"-"&amp;D35&amp;";"</f>
        <v>5F-7DD;</v>
      </c>
      <c r="E38" t="str">
        <f t="shared" ca="1" si="13"/>
        <v>5E-172A;</v>
      </c>
      <c r="F38" t="str">
        <f t="shared" ca="1" si="13"/>
        <v>10-61;</v>
      </c>
      <c r="G38" t="str">
        <f t="shared" ca="1" si="13"/>
        <v>45-12EA;</v>
      </c>
      <c r="H38" t="str">
        <f t="shared" ca="1" si="13"/>
        <v>2C-D4A58;</v>
      </c>
      <c r="I38" t="str">
        <f t="shared" ca="1" si="13"/>
        <v>31-64A;</v>
      </c>
      <c r="J38" t="str">
        <f t="shared" ca="1" si="13"/>
        <v>36-3D80;</v>
      </c>
      <c r="K38" t="str">
        <f t="shared" ca="1" si="13"/>
        <v>2B-3BB02BC;</v>
      </c>
      <c r="L38" t="str">
        <f ca="1">L36&amp;"-"&amp;L35</f>
        <v>62-1362</v>
      </c>
      <c r="O38" t="s">
        <v>110</v>
      </c>
      <c r="P38" t="b">
        <f ca="1">AVERAGE(P22:P36)=P22</f>
        <v>1</v>
      </c>
      <c r="Q38" t="b">
        <f t="shared" ref="Q38:Y38" ca="1" si="14">AVERAGE(Q22:Q36)=Q22</f>
        <v>1</v>
      </c>
      <c r="R38" t="b">
        <f t="shared" ca="1" si="14"/>
        <v>1</v>
      </c>
      <c r="S38" t="b">
        <f t="shared" ca="1" si="14"/>
        <v>1</v>
      </c>
      <c r="T38" t="b">
        <f t="shared" ca="1" si="14"/>
        <v>1</v>
      </c>
      <c r="U38" t="b">
        <f t="shared" ca="1" si="14"/>
        <v>1</v>
      </c>
      <c r="V38" t="b">
        <f t="shared" ca="1" si="14"/>
        <v>1</v>
      </c>
      <c r="W38" t="b">
        <f t="shared" ca="1" si="14"/>
        <v>1</v>
      </c>
      <c r="X38" t="b">
        <f t="shared" ca="1" si="14"/>
        <v>1</v>
      </c>
      <c r="Y38" t="b">
        <f t="shared" ca="1" si="14"/>
        <v>1</v>
      </c>
    </row>
    <row r="40" spans="2:25">
      <c r="C40" t="str">
        <f ca="1">A2&amp;"|"&amp;C38&amp;D38&amp;E38&amp;F38&amp;G38&amp;H38&amp;I38&amp;J38&amp;K38&amp;L38</f>
        <v>MN2|2E-DFF;5F-7DD;5E-172A;10-61;45-12EA;2C-D4A58;31-64A;36-3D80;2B-3BB02BC;62-1362</v>
      </c>
      <c r="O40" t="s">
        <v>111</v>
      </c>
      <c r="P40" t="b">
        <f t="shared" ref="P40:Y40" ca="1" si="15">IF(P22&gt;0,P26=0,C6&gt;0)</f>
        <v>0</v>
      </c>
      <c r="Q40" t="b">
        <f t="shared" ca="1" si="15"/>
        <v>0</v>
      </c>
      <c r="R40" t="b">
        <f t="shared" ca="1" si="15"/>
        <v>0</v>
      </c>
      <c r="S40" t="b">
        <f t="shared" ca="1" si="15"/>
        <v>0</v>
      </c>
      <c r="T40" t="b">
        <f t="shared" ca="1" si="15"/>
        <v>0</v>
      </c>
      <c r="U40" t="b">
        <f t="shared" ca="1" si="15"/>
        <v>0</v>
      </c>
      <c r="V40" t="b">
        <f t="shared" ca="1" si="15"/>
        <v>0</v>
      </c>
      <c r="W40" t="b">
        <f t="shared" ca="1" si="15"/>
        <v>0</v>
      </c>
      <c r="X40" t="b">
        <f t="shared" ca="1" si="15"/>
        <v>0</v>
      </c>
      <c r="Y40" t="b">
        <f t="shared" ca="1" si="15"/>
        <v>0</v>
      </c>
    </row>
    <row r="43" spans="2:25">
      <c r="C43" t="str" cm="1">
        <f t="array" aca="1" ref="C43" ca="1">INDIRECT(O47&amp;U17&amp;Y44)</f>
        <v>MN2|2E-DFF;5F-7DD;5E-172A;10-61;45-12EA;2C-D4A58;31-64A;36-3D80;2B-3BB02BC;62-1362</v>
      </c>
    </row>
    <row r="44" spans="2:25">
      <c r="Y44" t="s">
        <v>118</v>
      </c>
    </row>
    <row r="45" spans="2:25">
      <c r="C45" t="str">
        <f ca="1">C43</f>
        <v>MN2|2E-DFF;5F-7DD;5E-172A;10-61;45-12EA;2C-D4A58;31-64A;36-3D80;2B-3BB02BC;62-1362</v>
      </c>
    </row>
    <row r="47" spans="2:25">
      <c r="O47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D8CD-B4AC-4F6D-91B1-510007C7F7E8}">
  <sheetPr codeName="Sheet3"/>
  <dimension ref="A1"/>
  <sheetViews>
    <sheetView showGridLines="0" workbookViewId="0">
      <selection activeCell="B3" sqref="B3"/>
    </sheetView>
  </sheetViews>
  <sheetFormatPr defaultColWidth="8.88671875" defaultRowHeight="14.4"/>
  <cols>
    <col min="1" max="16384" width="8.88671875" style="6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XL-Test</vt:lpstr>
      <vt:lpstr>About</vt:lpstr>
      <vt:lpstr>Kode_jawaban</vt:lpstr>
      <vt:lpstr>DF!sayajo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ASUS K16</cp:lastModifiedBy>
  <dcterms:created xsi:type="dcterms:W3CDTF">2026-03-13T06:33:07Z</dcterms:created>
  <dcterms:modified xsi:type="dcterms:W3CDTF">2026-08-06T15:47:40Z</dcterms:modified>
</cp:coreProperties>
</file>