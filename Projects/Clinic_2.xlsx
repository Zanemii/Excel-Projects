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Learn\BELAJAR EXCEL SKUY\Admin\Admin Klinik\"/>
    </mc:Choice>
  </mc:AlternateContent>
  <xr:revisionPtr revIDLastSave="0" documentId="13_ncr:1_{AD3926C6-FCAC-49C4-9FF6-36DE641909A1}" xr6:coauthVersionLast="47" xr6:coauthVersionMax="47" xr10:uidLastSave="{00000000-0000-0000-0000-000000000000}"/>
  <bookViews>
    <workbookView xWindow="-108" yWindow="-108" windowWidth="23256" windowHeight="13896" xr2:uid="{22C0D914-EE93-4311-8305-51152887DD7C}"/>
  </bookViews>
  <sheets>
    <sheet name="Soal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3" l="1"/>
  <c r="J5" i="3"/>
  <c r="L5" i="3" s="1"/>
  <c r="J6" i="3"/>
  <c r="J7" i="3"/>
  <c r="J8" i="3"/>
  <c r="J9" i="3"/>
  <c r="L9" i="3" s="1"/>
  <c r="I5" i="3"/>
  <c r="I6" i="3"/>
  <c r="L6" i="3" s="1"/>
  <c r="I7" i="3"/>
  <c r="L7" i="3" s="1"/>
  <c r="I8" i="3"/>
  <c r="I9" i="3"/>
  <c r="J4" i="3"/>
  <c r="I4" i="3"/>
  <c r="K17" i="3"/>
  <c r="K16" i="3"/>
  <c r="L8" i="3"/>
  <c r="L4" i="3"/>
  <c r="K5" i="3"/>
  <c r="K6" i="3"/>
  <c r="K7" i="3"/>
  <c r="K8" i="3"/>
  <c r="K9" i="3"/>
  <c r="K4" i="3"/>
  <c r="H5" i="3"/>
  <c r="H6" i="3"/>
  <c r="H7" i="3"/>
  <c r="H8" i="3"/>
  <c r="H9" i="3"/>
  <c r="H4" i="3"/>
  <c r="L16" i="3" l="1"/>
  <c r="K13" i="3"/>
  <c r="L17" i="3"/>
  <c r="K14" i="3"/>
  <c r="K11" i="3"/>
</calcChain>
</file>

<file path=xl/sharedStrings.xml><?xml version="1.0" encoding="utf-8"?>
<sst xmlns="http://schemas.openxmlformats.org/spreadsheetml/2006/main" count="49" uniqueCount="31">
  <si>
    <t>No</t>
  </si>
  <si>
    <t>Nama Pasien</t>
  </si>
  <si>
    <t xml:space="preserve">Tanggal </t>
  </si>
  <si>
    <t>Masuk</t>
  </si>
  <si>
    <t>Keluar</t>
  </si>
  <si>
    <t>Biaya</t>
  </si>
  <si>
    <t>Inap</t>
  </si>
  <si>
    <t>Layanan</t>
  </si>
  <si>
    <t>Persalinan</t>
  </si>
  <si>
    <t>Total Biaya</t>
  </si>
  <si>
    <t>Biaya Persalinan</t>
  </si>
  <si>
    <t>Dokter</t>
  </si>
  <si>
    <t>Bidan</t>
  </si>
  <si>
    <t>Biaya Tertinggi</t>
  </si>
  <si>
    <t>Biaya Terendah</t>
  </si>
  <si>
    <t>Fitri</t>
  </si>
  <si>
    <t>Tasya</t>
  </si>
  <si>
    <t>Siska</t>
  </si>
  <si>
    <t>Nabila</t>
  </si>
  <si>
    <t>Sintia</t>
  </si>
  <si>
    <t>Kelas</t>
  </si>
  <si>
    <t>Jumlah Pasien</t>
  </si>
  <si>
    <t>Jumlah Biaya</t>
  </si>
  <si>
    <t>Soal</t>
  </si>
  <si>
    <t>Biaya Permalam</t>
  </si>
  <si>
    <t>Lama Inap</t>
  </si>
  <si>
    <t>BPJS</t>
  </si>
  <si>
    <t>Umum</t>
  </si>
  <si>
    <t>Zahra</t>
  </si>
  <si>
    <t>Total Pemasukan</t>
  </si>
  <si>
    <t>Rata - Rata Biaya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</si>
</sst>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Rp&quot;* #,##0_-;\-&quot;Rp&quot;* #,##0_-;_-&quot;Rp&quot;* &quot;-&quot;_-;_-@_-"/>
    <numFmt numFmtId="165" formatCode="_-* #,##0_-;\-* #,##0_-;_-* &quot;-&quot;_-;_-@_-"/>
    <numFmt numFmtId="170" formatCode="0\ &quot;Malam&quot;"/>
    <numFmt numFmtId="171" formatCode="[$Rp-421]#,##0.00"/>
  </numFmts>
  <fonts count="5" x14ac:knownFonts="1">
    <font>
      <sz val="11"/>
      <color theme="1"/>
      <name val="Yu Gothic UI Semibold"/>
      <family val="2"/>
    </font>
    <font>
      <sz val="11"/>
      <color theme="0"/>
      <name val="Yu Gothic UI Semibold"/>
      <family val="2"/>
    </font>
    <font>
      <sz val="11"/>
      <name val="Yu Gothic UI Semibold"/>
      <family val="2"/>
    </font>
    <font>
      <sz val="11"/>
      <color theme="1"/>
      <name val="Yu Gothic UI Semibold"/>
      <family val="2"/>
    </font>
    <font>
      <sz val="14"/>
      <color theme="1"/>
      <name val="Yu Gothic UI Semibol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5" fontId="3" fillId="0" borderId="0" applyFont="0" applyFill="0" applyBorder="0" applyAlignment="0" applyProtection="0"/>
  </cellStyleXfs>
  <cellXfs count="27">
    <xf numFmtId="0" fontId="0" fillId="0" borderId="0" xfId="0"/>
    <xf numFmtId="0" fontId="1" fillId="3" borderId="0" xfId="0" applyFont="1" applyFill="1"/>
    <xf numFmtId="0" fontId="0" fillId="0" borderId="1" xfId="0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/>
    <xf numFmtId="0" fontId="2" fillId="2" borderId="1" xfId="0" applyFont="1" applyFill="1" applyBorder="1"/>
    <xf numFmtId="0" fontId="1" fillId="4" borderId="1" xfId="0" applyFont="1" applyFill="1" applyBorder="1" applyAlignment="1">
      <alignment horizontal="center"/>
    </xf>
    <xf numFmtId="165" fontId="0" fillId="0" borderId="1" xfId="1" applyFont="1" applyBorder="1"/>
    <xf numFmtId="165" fontId="0" fillId="0" borderId="0" xfId="1" applyFont="1"/>
    <xf numFmtId="165" fontId="0" fillId="0" borderId="1" xfId="1" applyFont="1" applyFill="1" applyBorder="1"/>
    <xf numFmtId="0" fontId="2" fillId="0" borderId="1" xfId="0" applyFont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4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70" fontId="2" fillId="0" borderId="1" xfId="0" applyNumberFormat="1" applyFont="1" applyBorder="1" applyAlignment="1">
      <alignment horizontal="center"/>
    </xf>
    <xf numFmtId="171" fontId="2" fillId="0" borderId="1" xfId="1" applyNumberFormat="1" applyFont="1" applyFill="1" applyBorder="1" applyAlignment="1">
      <alignment horizontal="left"/>
    </xf>
    <xf numFmtId="171" fontId="2" fillId="0" borderId="1" xfId="1" applyNumberFormat="1" applyFont="1" applyBorder="1" applyAlignment="1">
      <alignment horizontal="left"/>
    </xf>
    <xf numFmtId="171" fontId="2" fillId="0" borderId="1" xfId="0" applyNumberFormat="1" applyFont="1" applyBorder="1" applyAlignment="1">
      <alignment horizontal="left"/>
    </xf>
    <xf numFmtId="171" fontId="2" fillId="0" borderId="2" xfId="0" applyNumberFormat="1" applyFont="1" applyBorder="1" applyAlignment="1">
      <alignment horizontal="left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colors>
    <mruColors>
      <color rgb="FF0000FF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E5AA5-CB6F-40AB-A34E-D0DA4DB1F1A8}">
  <sheetPr>
    <tabColor theme="0"/>
  </sheetPr>
  <dimension ref="B1:L17"/>
  <sheetViews>
    <sheetView tabSelected="1" zoomScale="115" zoomScaleNormal="115" workbookViewId="0">
      <selection activeCell="H22" sqref="H21:H22"/>
    </sheetView>
  </sheetViews>
  <sheetFormatPr defaultRowHeight="16.8" x14ac:dyDescent="0.4"/>
  <cols>
    <col min="1" max="1" width="0.8984375" customWidth="1"/>
    <col min="2" max="2" width="3.296875" bestFit="1" customWidth="1"/>
    <col min="3" max="3" width="10.796875" customWidth="1"/>
    <col min="4" max="4" width="9.3984375" customWidth="1"/>
    <col min="5" max="5" width="10.09765625" customWidth="1"/>
    <col min="6" max="7" width="11.3984375" customWidth="1"/>
    <col min="8" max="8" width="11.09765625" bestFit="1" customWidth="1"/>
    <col min="9" max="9" width="13.796875" bestFit="1" customWidth="1"/>
    <col min="10" max="10" width="15.09765625" bestFit="1" customWidth="1"/>
    <col min="11" max="11" width="14.8984375" bestFit="1" customWidth="1"/>
    <col min="12" max="12" width="14.19921875" bestFit="1" customWidth="1"/>
  </cols>
  <sheetData>
    <row r="1" spans="2:12" ht="20.399999999999999" x14ac:dyDescent="0.4">
      <c r="B1" s="19" t="s">
        <v>23</v>
      </c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2:12" x14ac:dyDescent="0.4">
      <c r="B2" s="20" t="s">
        <v>0</v>
      </c>
      <c r="C2" s="20" t="s">
        <v>1</v>
      </c>
      <c r="D2" s="20" t="s">
        <v>20</v>
      </c>
      <c r="E2" s="20" t="s">
        <v>8</v>
      </c>
      <c r="F2" s="20" t="s">
        <v>2</v>
      </c>
      <c r="G2" s="20"/>
      <c r="H2" s="21" t="s">
        <v>25</v>
      </c>
      <c r="I2" s="20" t="s">
        <v>5</v>
      </c>
      <c r="J2" s="20"/>
      <c r="K2" s="20"/>
      <c r="L2" s="20" t="s">
        <v>9</v>
      </c>
    </row>
    <row r="3" spans="2:12" x14ac:dyDescent="0.4">
      <c r="B3" s="20"/>
      <c r="C3" s="20"/>
      <c r="D3" s="20"/>
      <c r="E3" s="20"/>
      <c r="F3" s="6" t="s">
        <v>3</v>
      </c>
      <c r="G3" s="6" t="s">
        <v>4</v>
      </c>
      <c r="H3" s="21"/>
      <c r="I3" s="6" t="s">
        <v>6</v>
      </c>
      <c r="J3" s="6" t="s">
        <v>7</v>
      </c>
      <c r="K3" s="6" t="s">
        <v>8</v>
      </c>
      <c r="L3" s="20"/>
    </row>
    <row r="4" spans="2:12" x14ac:dyDescent="0.4">
      <c r="B4" s="2">
        <v>1</v>
      </c>
      <c r="C4" s="3" t="s">
        <v>16</v>
      </c>
      <c r="D4" s="2" t="s">
        <v>26</v>
      </c>
      <c r="E4" s="3" t="s">
        <v>11</v>
      </c>
      <c r="F4" s="5">
        <v>44197</v>
      </c>
      <c r="G4" s="5">
        <v>44200</v>
      </c>
      <c r="H4" s="22">
        <f>VALUE(G4-F4)</f>
        <v>3</v>
      </c>
      <c r="I4" s="23">
        <f>VLOOKUP(D4,$C$12:$G$14,2,FALSE)*H4</f>
        <v>900000</v>
      </c>
      <c r="J4" s="23">
        <f>VLOOKUP(D4,$C$12:$G$14,3,FALSE)*H4</f>
        <v>450000</v>
      </c>
      <c r="K4" s="24">
        <f>VLOOKUP(D4,$C$12:$G$14,IF(E4="Dokter",4,5),FALSE)</f>
        <v>1000000</v>
      </c>
      <c r="L4" s="25">
        <f>I4+J4+K4</f>
        <v>2350000</v>
      </c>
    </row>
    <row r="5" spans="2:12" x14ac:dyDescent="0.4">
      <c r="B5" s="2">
        <v>2</v>
      </c>
      <c r="C5" s="3" t="s">
        <v>15</v>
      </c>
      <c r="D5" s="2" t="s">
        <v>27</v>
      </c>
      <c r="E5" s="3" t="s">
        <v>12</v>
      </c>
      <c r="F5" s="5">
        <v>44197</v>
      </c>
      <c r="G5" s="5">
        <v>44201</v>
      </c>
      <c r="H5" s="22">
        <f t="shared" ref="H5:H9" si="0">VALUE(G5-F5)</f>
        <v>4</v>
      </c>
      <c r="I5" s="23">
        <f t="shared" ref="I5:I9" si="1">VLOOKUP(D5,$C$12:$G$14,2,FALSE)*H5</f>
        <v>3600000</v>
      </c>
      <c r="J5" s="23">
        <f t="shared" ref="J5:J9" si="2">VLOOKUP(D5,$C$12:$G$14,3,FALSE)*H5</f>
        <v>1200000</v>
      </c>
      <c r="K5" s="24">
        <f t="shared" ref="K5:K9" si="3">VLOOKUP(D5,$C$12:$G$14,IF(E5="Dokter",4,5),FALSE)</f>
        <v>700000</v>
      </c>
      <c r="L5" s="25">
        <f t="shared" ref="L5:L9" si="4">I5+J5+K5</f>
        <v>5500000</v>
      </c>
    </row>
    <row r="6" spans="2:12" x14ac:dyDescent="0.4">
      <c r="B6" s="2">
        <v>3</v>
      </c>
      <c r="C6" s="3" t="s">
        <v>17</v>
      </c>
      <c r="D6" s="2" t="s">
        <v>26</v>
      </c>
      <c r="E6" s="3" t="s">
        <v>11</v>
      </c>
      <c r="F6" s="5">
        <v>44197</v>
      </c>
      <c r="G6" s="5">
        <v>44200</v>
      </c>
      <c r="H6" s="22">
        <f t="shared" si="0"/>
        <v>3</v>
      </c>
      <c r="I6" s="23">
        <f t="shared" si="1"/>
        <v>900000</v>
      </c>
      <c r="J6" s="23">
        <f t="shared" si="2"/>
        <v>450000</v>
      </c>
      <c r="K6" s="24">
        <f t="shared" si="3"/>
        <v>1000000</v>
      </c>
      <c r="L6" s="25">
        <f t="shared" si="4"/>
        <v>2350000</v>
      </c>
    </row>
    <row r="7" spans="2:12" x14ac:dyDescent="0.4">
      <c r="B7" s="2">
        <v>4</v>
      </c>
      <c r="C7" s="3" t="s">
        <v>18</v>
      </c>
      <c r="D7" s="2" t="s">
        <v>26</v>
      </c>
      <c r="E7" s="3" t="s">
        <v>12</v>
      </c>
      <c r="F7" s="5">
        <v>44197</v>
      </c>
      <c r="G7" s="5">
        <v>44199</v>
      </c>
      <c r="H7" s="22">
        <f t="shared" si="0"/>
        <v>2</v>
      </c>
      <c r="I7" s="23">
        <f t="shared" si="1"/>
        <v>600000</v>
      </c>
      <c r="J7" s="23">
        <f t="shared" si="2"/>
        <v>300000</v>
      </c>
      <c r="K7" s="24">
        <f t="shared" si="3"/>
        <v>500000</v>
      </c>
      <c r="L7" s="25">
        <f t="shared" si="4"/>
        <v>1400000</v>
      </c>
    </row>
    <row r="8" spans="2:12" x14ac:dyDescent="0.4">
      <c r="B8" s="2">
        <v>5</v>
      </c>
      <c r="C8" s="3" t="s">
        <v>19</v>
      </c>
      <c r="D8" s="2" t="s">
        <v>27</v>
      </c>
      <c r="E8" s="3" t="s">
        <v>11</v>
      </c>
      <c r="F8" s="5">
        <v>44197</v>
      </c>
      <c r="G8" s="5">
        <v>44202</v>
      </c>
      <c r="H8" s="22">
        <f t="shared" si="0"/>
        <v>5</v>
      </c>
      <c r="I8" s="23">
        <f t="shared" si="1"/>
        <v>4500000</v>
      </c>
      <c r="J8" s="23">
        <f t="shared" si="2"/>
        <v>1500000</v>
      </c>
      <c r="K8" s="24">
        <f t="shared" si="3"/>
        <v>1500000</v>
      </c>
      <c r="L8" s="25">
        <f t="shared" si="4"/>
        <v>7500000</v>
      </c>
    </row>
    <row r="9" spans="2:12" x14ac:dyDescent="0.4">
      <c r="B9" s="2">
        <v>6</v>
      </c>
      <c r="C9" s="3" t="s">
        <v>28</v>
      </c>
      <c r="D9" s="2" t="s">
        <v>27</v>
      </c>
      <c r="E9" s="3" t="s">
        <v>11</v>
      </c>
      <c r="F9" s="5">
        <v>44197</v>
      </c>
      <c r="G9" s="5">
        <v>44200</v>
      </c>
      <c r="H9" s="22">
        <f t="shared" si="0"/>
        <v>3</v>
      </c>
      <c r="I9" s="23">
        <f t="shared" si="1"/>
        <v>2700000</v>
      </c>
      <c r="J9" s="23">
        <f t="shared" si="2"/>
        <v>900000</v>
      </c>
      <c r="K9" s="24">
        <f t="shared" si="3"/>
        <v>1500000</v>
      </c>
      <c r="L9" s="25">
        <f t="shared" si="4"/>
        <v>5100000</v>
      </c>
    </row>
    <row r="10" spans="2:12" ht="9.75" customHeight="1" x14ac:dyDescent="0.4"/>
    <row r="11" spans="2:12" x14ac:dyDescent="0.4">
      <c r="C11" s="17" t="s">
        <v>24</v>
      </c>
      <c r="D11" s="17"/>
      <c r="E11" s="17"/>
      <c r="F11" s="18" t="s">
        <v>10</v>
      </c>
      <c r="G11" s="18"/>
      <c r="J11" s="8" t="s">
        <v>29</v>
      </c>
      <c r="K11" s="25">
        <f>SUM(L4:L9)</f>
        <v>24200000</v>
      </c>
    </row>
    <row r="12" spans="2:12" x14ac:dyDescent="0.4">
      <c r="C12" s="14" t="s">
        <v>20</v>
      </c>
      <c r="D12" s="9" t="s">
        <v>6</v>
      </c>
      <c r="E12" s="9" t="s">
        <v>7</v>
      </c>
      <c r="F12" s="15" t="s">
        <v>11</v>
      </c>
      <c r="G12" s="15" t="s">
        <v>12</v>
      </c>
      <c r="J12" s="8" t="s">
        <v>30</v>
      </c>
      <c r="K12" s="25">
        <f>AVERAGE(L4:L9)</f>
        <v>4033333.3333333335</v>
      </c>
    </row>
    <row r="13" spans="2:12" x14ac:dyDescent="0.4">
      <c r="C13" s="13" t="s">
        <v>26</v>
      </c>
      <c r="D13" s="10">
        <v>300000</v>
      </c>
      <c r="E13" s="10">
        <v>150000</v>
      </c>
      <c r="F13" s="10">
        <v>1000000</v>
      </c>
      <c r="G13" s="10">
        <v>500000</v>
      </c>
      <c r="J13" s="8" t="s">
        <v>13</v>
      </c>
      <c r="K13" s="26">
        <f>MAX(L4:L9)</f>
        <v>7500000</v>
      </c>
    </row>
    <row r="14" spans="2:12" x14ac:dyDescent="0.4">
      <c r="C14" s="13" t="s">
        <v>27</v>
      </c>
      <c r="D14" s="10">
        <v>900000</v>
      </c>
      <c r="E14" s="10">
        <v>300000</v>
      </c>
      <c r="F14" s="10">
        <v>1500000</v>
      </c>
      <c r="G14" s="12">
        <v>700000</v>
      </c>
      <c r="H14" s="11"/>
      <c r="J14" s="8" t="s">
        <v>14</v>
      </c>
      <c r="K14" s="26">
        <f>MIN(L4:L9)</f>
        <v>1400000</v>
      </c>
    </row>
    <row r="15" spans="2:12" x14ac:dyDescent="0.4">
      <c r="J15" s="1"/>
      <c r="K15" s="7" t="s">
        <v>21</v>
      </c>
      <c r="L15" s="4" t="s">
        <v>22</v>
      </c>
    </row>
    <row r="16" spans="2:12" x14ac:dyDescent="0.4">
      <c r="J16" s="4" t="s">
        <v>27</v>
      </c>
      <c r="K16" s="16">
        <f>COUNTIF(D4:D9,"Umum")</f>
        <v>3</v>
      </c>
      <c r="L16" s="24">
        <f>SUMIF(D4:D9,"Umum",L4:L9)</f>
        <v>18100000</v>
      </c>
    </row>
    <row r="17" spans="10:12" x14ac:dyDescent="0.4">
      <c r="J17" s="4" t="s">
        <v>26</v>
      </c>
      <c r="K17" s="16">
        <f>COUNTIF(D4:D9,"BPJS")</f>
        <v>3</v>
      </c>
      <c r="L17" s="24">
        <f>SUMIF(D4:D9,"BPJS",L4:L9)</f>
        <v>6100000</v>
      </c>
    </row>
  </sheetData>
  <mergeCells count="11">
    <mergeCell ref="C11:E11"/>
    <mergeCell ref="F11:G11"/>
    <mergeCell ref="B1:L1"/>
    <mergeCell ref="B2:B3"/>
    <mergeCell ref="C2:C3"/>
    <mergeCell ref="D2:D3"/>
    <mergeCell ref="E2:E3"/>
    <mergeCell ref="F2:G2"/>
    <mergeCell ref="H2:H3"/>
    <mergeCell ref="I2:K2"/>
    <mergeCell ref="L2:L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ASUS K16</cp:lastModifiedBy>
  <dcterms:created xsi:type="dcterms:W3CDTF">2021-06-21T13:08:16Z</dcterms:created>
  <dcterms:modified xsi:type="dcterms:W3CDTF">2026-08-24T14:35:18Z</dcterms:modified>
</cp:coreProperties>
</file>